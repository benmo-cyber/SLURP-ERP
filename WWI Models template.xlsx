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mo\OneDrive\Documents\WWI ERP\"/>
    </mc:Choice>
  </mc:AlternateContent>
  <xr:revisionPtr revIDLastSave="0" documentId="8_{00E834A6-961C-4CF7-B2B1-2A3A937EF8DA}" xr6:coauthVersionLast="47" xr6:coauthVersionMax="47" xr10:uidLastSave="{00000000-0000-0000-0000-000000000000}"/>
  <bookViews>
    <workbookView xWindow="-120" yWindow="-120" windowWidth="29040" windowHeight="15720" xr2:uid="{9590BBB6-D102-4153-B2DC-E8B25365A3D1}"/>
  </bookViews>
  <sheets>
    <sheet name="Cost Master List" sheetId="1" r:id="rId1"/>
    <sheet name="Manufactured Items Models" sheetId="3" r:id="rId2"/>
    <sheet name="Customer Pricing" sheetId="4" r:id="rId3"/>
    <sheet name="Proforma P&amp;L" sheetId="6" r:id="rId4"/>
    <sheet name="Operating Expenses" sheetId="7" r:id="rId5"/>
    <sheet name="Cash Flow Analysis" sheetId="10" r:id="rId6"/>
    <sheet name="List" sheetId="5" state="hidden" r:id="rId7"/>
  </sheets>
  <definedNames>
    <definedName name="_xlnm._FilterDatabase" localSheetId="0" hidden="1">'Cost Master List'!$A$1:$T$1035</definedName>
    <definedName name="_xlnm._FilterDatabase" localSheetId="2" hidden="1">'Customer Pricing'!$B$1:$R$27</definedName>
    <definedName name="_xlnm._FilterDatabase" localSheetId="1" hidden="1">'Manufactured Items Models'!$A$2:$E$12</definedName>
    <definedName name="List_Distributed">_xlfn.ANCHORARRAY('Customer Pricing'!$Z$1)</definedName>
    <definedName name="List_Manufactured">_xlfn.ANCHORARRAY('Customer Pricing'!$AA$1)</definedName>
    <definedName name="Mfr_Items_Lookup">_xlfn.ANCHORARRAY('Customer Pricing'!$AB$1)</definedName>
    <definedName name="Mfr_Prices_Lookup">_xlfn.ANCHORARRAY('Customer Pricing'!$AC$1)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4" l="1" a="1"/>
  <c r="E45" i="4" s="1"/>
  <c r="H45" i="4" s="1"/>
  <c r="E46" i="4" a="1"/>
  <c r="E46" i="4" s="1"/>
  <c r="H46" i="4" s="1"/>
  <c r="E47" i="4" a="1"/>
  <c r="E47" i="4" s="1"/>
  <c r="H47" i="4" s="1"/>
  <c r="E48" i="4" a="1"/>
  <c r="E48" i="4" s="1"/>
  <c r="H48" i="4" s="1"/>
  <c r="E42" i="4" a="1"/>
  <c r="E42" i="4" s="1"/>
  <c r="H42" i="4" s="1"/>
  <c r="J42" i="4" s="1"/>
  <c r="K42" i="4" s="1"/>
  <c r="L51" i="1"/>
  <c r="M51" i="1" s="1"/>
  <c r="D51" i="1"/>
  <c r="D65" i="1" l="1"/>
  <c r="L65" i="1"/>
  <c r="O65" i="1" s="1"/>
  <c r="P65" i="1" s="1"/>
  <c r="L28" i="1"/>
  <c r="M28" i="1" s="1"/>
  <c r="D28" i="1"/>
  <c r="O77" i="1"/>
  <c r="P77" i="1" s="1"/>
  <c r="L76" i="1"/>
  <c r="M76" i="1" s="1"/>
  <c r="D76" i="1"/>
  <c r="D75" i="1"/>
  <c r="L75" i="1"/>
  <c r="M75" i="1" s="1"/>
  <c r="M6" i="7"/>
  <c r="O6" i="7" s="1"/>
  <c r="C6" i="7"/>
  <c r="D6" i="7"/>
  <c r="E6" i="7"/>
  <c r="F6" i="7"/>
  <c r="G6" i="7"/>
  <c r="H6" i="7"/>
  <c r="I6" i="7"/>
  <c r="J6" i="7"/>
  <c r="K6" i="7"/>
  <c r="L6" i="7"/>
  <c r="B6" i="7"/>
  <c r="L84" i="1"/>
  <c r="L85" i="1"/>
  <c r="L86" i="1"/>
  <c r="L87" i="1"/>
  <c r="L88" i="1"/>
  <c r="L89" i="1"/>
  <c r="C90" i="1"/>
  <c r="L90" i="1" s="1"/>
  <c r="C91" i="1"/>
  <c r="L91" i="1" s="1"/>
  <c r="D73" i="1"/>
  <c r="M65" i="1" l="1"/>
  <c r="O76" i="1"/>
  <c r="P76" i="1" s="1"/>
  <c r="O75" i="1"/>
  <c r="P75" i="1" s="1"/>
  <c r="D30" i="1"/>
  <c r="D29" i="1"/>
  <c r="E33" i="4" a="1"/>
  <c r="E33" i="4" s="1"/>
  <c r="H33" i="4" s="1"/>
  <c r="J33" i="4" s="1"/>
  <c r="K33" i="4" s="1"/>
  <c r="E29" i="4" a="1"/>
  <c r="E29" i="4" s="1"/>
  <c r="H29" i="4" s="1"/>
  <c r="J29" i="4" s="1"/>
  <c r="K29" i="4" s="1"/>
  <c r="L53" i="1"/>
  <c r="M53" i="1" s="1"/>
  <c r="D53" i="1"/>
  <c r="O6" i="6" l="1"/>
  <c r="B11" i="10"/>
  <c r="C11" i="10" s="1"/>
  <c r="D6" i="10" s="1"/>
  <c r="D11" i="10" l="1"/>
  <c r="E11" i="10" s="1"/>
  <c r="F11" i="10" s="1"/>
  <c r="AE3" i="6"/>
  <c r="AH3" i="6"/>
  <c r="AI3" i="6"/>
  <c r="AJ3" i="6"/>
  <c r="AL3" i="6" s="1" a="1"/>
  <c r="AL3" i="6" s="1"/>
  <c r="AK3" i="6"/>
  <c r="AM3" i="6" s="1"/>
  <c r="AE4" i="6"/>
  <c r="BW4" i="6" s="1"/>
  <c r="AH4" i="6"/>
  <c r="AI4" i="6"/>
  <c r="AJ4" i="6"/>
  <c r="AL4" i="6" s="1" a="1"/>
  <c r="AL4" i="6" s="1"/>
  <c r="AK4" i="6"/>
  <c r="AN4" i="6" s="1"/>
  <c r="AE5" i="6"/>
  <c r="AH5" i="6"/>
  <c r="AI5" i="6"/>
  <c r="AJ5" i="6"/>
  <c r="AL5" i="6" s="1" a="1"/>
  <c r="AL5" i="6" s="1"/>
  <c r="AK5" i="6"/>
  <c r="AM5" i="6" s="1"/>
  <c r="AE6" i="6"/>
  <c r="AH6" i="6"/>
  <c r="AI6" i="6"/>
  <c r="AJ6" i="6"/>
  <c r="AL6" i="6" s="1" a="1"/>
  <c r="AL6" i="6" s="1"/>
  <c r="AK6" i="6"/>
  <c r="AN6" i="6" s="1"/>
  <c r="AE7" i="6"/>
  <c r="AH7" i="6"/>
  <c r="AI7" i="6"/>
  <c r="AJ7" i="6"/>
  <c r="AL7" i="6" s="1" a="1"/>
  <c r="AL7" i="6" s="1"/>
  <c r="AK7" i="6"/>
  <c r="AE8" i="6"/>
  <c r="AH8" i="6"/>
  <c r="AI8" i="6"/>
  <c r="AJ8" i="6"/>
  <c r="AL8" i="6" s="1" a="1"/>
  <c r="AL8" i="6" s="1"/>
  <c r="AK8" i="6"/>
  <c r="AM8" i="6" s="1"/>
  <c r="AE9" i="6"/>
  <c r="AH9" i="6"/>
  <c r="AI9" i="6"/>
  <c r="AJ9" i="6"/>
  <c r="AL9" i="6" s="1" a="1"/>
  <c r="AL9" i="6" s="1"/>
  <c r="AK9" i="6"/>
  <c r="AN9" i="6" s="1"/>
  <c r="AE10" i="6"/>
  <c r="BQ10" i="6" s="1"/>
  <c r="AH10" i="6"/>
  <c r="AI10" i="6"/>
  <c r="AJ10" i="6"/>
  <c r="AL10" i="6" s="1" a="1"/>
  <c r="AL10" i="6" s="1"/>
  <c r="AK10" i="6"/>
  <c r="AE11" i="6"/>
  <c r="AH11" i="6"/>
  <c r="AI11" i="6"/>
  <c r="AJ11" i="6"/>
  <c r="AL11" i="6" s="1" a="1"/>
  <c r="AL11" i="6" s="1"/>
  <c r="AK11" i="6"/>
  <c r="AN11" i="6" s="1"/>
  <c r="AE12" i="6"/>
  <c r="AH12" i="6"/>
  <c r="AI12" i="6"/>
  <c r="AJ12" i="6"/>
  <c r="AL12" i="6" s="1" a="1"/>
  <c r="AL12" i="6" s="1"/>
  <c r="AK12" i="6"/>
  <c r="AN12" i="6" s="1"/>
  <c r="AE13" i="6"/>
  <c r="AH13" i="6"/>
  <c r="AI13" i="6"/>
  <c r="AJ13" i="6"/>
  <c r="AL13" i="6" s="1" a="1"/>
  <c r="AL13" i="6" s="1"/>
  <c r="AK13" i="6"/>
  <c r="AN13" i="6" s="1"/>
  <c r="AE14" i="6"/>
  <c r="AH14" i="6"/>
  <c r="AI14" i="6"/>
  <c r="AJ14" i="6"/>
  <c r="AL14" i="6" s="1" a="1"/>
  <c r="AL14" i="6" s="1"/>
  <c r="AK14" i="6"/>
  <c r="AN14" i="6" s="1"/>
  <c r="AE15" i="6"/>
  <c r="AH15" i="6"/>
  <c r="AI15" i="6"/>
  <c r="AJ15" i="6"/>
  <c r="AL15" i="6" s="1" a="1"/>
  <c r="AL15" i="6" s="1"/>
  <c r="AK15" i="6"/>
  <c r="AE16" i="6"/>
  <c r="AH16" i="6"/>
  <c r="AI16" i="6"/>
  <c r="AJ16" i="6"/>
  <c r="AL16" i="6" s="1" a="1"/>
  <c r="AL16" i="6" s="1"/>
  <c r="AK16" i="6"/>
  <c r="AE17" i="6"/>
  <c r="AH17" i="6"/>
  <c r="AI17" i="6"/>
  <c r="AJ17" i="6"/>
  <c r="AL17" i="6" s="1" a="1"/>
  <c r="AL17" i="6" s="1"/>
  <c r="AK17" i="6"/>
  <c r="AN17" i="6" s="1"/>
  <c r="AE18" i="6"/>
  <c r="AH18" i="6"/>
  <c r="AI18" i="6"/>
  <c r="AJ18" i="6"/>
  <c r="AL18" i="6" s="1" a="1"/>
  <c r="AL18" i="6" s="1"/>
  <c r="AK18" i="6"/>
  <c r="AE19" i="6"/>
  <c r="AH19" i="6"/>
  <c r="AI19" i="6"/>
  <c r="AJ19" i="6"/>
  <c r="AL19" i="6" s="1" a="1"/>
  <c r="AL19" i="6" s="1"/>
  <c r="AK19" i="6"/>
  <c r="AN19" i="6" s="1"/>
  <c r="AE20" i="6"/>
  <c r="AH20" i="6"/>
  <c r="AI20" i="6"/>
  <c r="AJ20" i="6"/>
  <c r="AL20" i="6" s="1" a="1"/>
  <c r="AL20" i="6" s="1"/>
  <c r="AK20" i="6"/>
  <c r="AM20" i="6" s="1"/>
  <c r="AE21" i="6"/>
  <c r="AH21" i="6"/>
  <c r="AI21" i="6"/>
  <c r="AJ21" i="6"/>
  <c r="AL21" i="6" s="1" a="1"/>
  <c r="AL21" i="6" s="1"/>
  <c r="AK21" i="6"/>
  <c r="AM21" i="6" s="1"/>
  <c r="AE22" i="6"/>
  <c r="AH22" i="6"/>
  <c r="AI22" i="6"/>
  <c r="AJ22" i="6"/>
  <c r="AL22" i="6" s="1" a="1"/>
  <c r="AL22" i="6" s="1"/>
  <c r="AK22" i="6"/>
  <c r="AN22" i="6" s="1"/>
  <c r="AE23" i="6"/>
  <c r="AH23" i="6"/>
  <c r="AI23" i="6"/>
  <c r="AJ23" i="6"/>
  <c r="AL23" i="6" s="1" a="1"/>
  <c r="AL23" i="6" s="1"/>
  <c r="AK23" i="6"/>
  <c r="AE24" i="6"/>
  <c r="AH24" i="6"/>
  <c r="AI24" i="6"/>
  <c r="AJ24" i="6"/>
  <c r="AL24" i="6" s="1" a="1"/>
  <c r="AL24" i="6" s="1"/>
  <c r="AK24" i="6"/>
  <c r="AE25" i="6"/>
  <c r="AH25" i="6"/>
  <c r="AI25" i="6"/>
  <c r="AJ25" i="6"/>
  <c r="AL25" i="6" s="1" a="1"/>
  <c r="AL25" i="6" s="1"/>
  <c r="AK25" i="6"/>
  <c r="AN25" i="6" s="1"/>
  <c r="AE26" i="6"/>
  <c r="AH26" i="6"/>
  <c r="AI26" i="6"/>
  <c r="AJ26" i="6"/>
  <c r="AL26" i="6" s="1" a="1"/>
  <c r="AL26" i="6" s="1"/>
  <c r="AK26" i="6"/>
  <c r="AE27" i="6"/>
  <c r="AH27" i="6"/>
  <c r="AI27" i="6"/>
  <c r="AJ27" i="6"/>
  <c r="AL27" i="6" s="1" a="1"/>
  <c r="AL27" i="6" s="1"/>
  <c r="AK27" i="6"/>
  <c r="AN27" i="6" s="1"/>
  <c r="AE28" i="6"/>
  <c r="AH28" i="6"/>
  <c r="AI28" i="6"/>
  <c r="AJ28" i="6"/>
  <c r="AL28" i="6" s="1" a="1"/>
  <c r="AL28" i="6" s="1"/>
  <c r="AK28" i="6"/>
  <c r="AN28" i="6" s="1"/>
  <c r="AE29" i="6"/>
  <c r="AF29" i="6"/>
  <c r="AG29" i="6"/>
  <c r="AH29" i="6"/>
  <c r="AI29" i="6"/>
  <c r="AJ29" i="6"/>
  <c r="AL29" i="6" s="1" a="1"/>
  <c r="AL29" i="6" s="1"/>
  <c r="AK29" i="6"/>
  <c r="AE30" i="6"/>
  <c r="AH30" i="6"/>
  <c r="AI30" i="6"/>
  <c r="AJ30" i="6"/>
  <c r="AL30" i="6" s="1" a="1"/>
  <c r="AL30" i="6" s="1"/>
  <c r="AK30" i="6"/>
  <c r="AM30" i="6" s="1"/>
  <c r="AE31" i="6"/>
  <c r="AH31" i="6"/>
  <c r="AI31" i="6"/>
  <c r="AJ31" i="6"/>
  <c r="AL31" i="6" s="1" a="1"/>
  <c r="AL31" i="6" s="1"/>
  <c r="AK31" i="6"/>
  <c r="AN31" i="6" s="1"/>
  <c r="AE32" i="6"/>
  <c r="AH32" i="6"/>
  <c r="AI32" i="6"/>
  <c r="AJ32" i="6"/>
  <c r="AL32" i="6" s="1" a="1"/>
  <c r="AL32" i="6" s="1"/>
  <c r="AK32" i="6"/>
  <c r="AM32" i="6" s="1"/>
  <c r="AE33" i="6"/>
  <c r="AF33" i="6"/>
  <c r="AG33" i="6"/>
  <c r="AH33" i="6"/>
  <c r="AI33" i="6"/>
  <c r="AJ33" i="6"/>
  <c r="AL33" i="6" s="1" a="1"/>
  <c r="AL33" i="6" s="1"/>
  <c r="AK33" i="6"/>
  <c r="AM33" i="6" s="1"/>
  <c r="AE34" i="6"/>
  <c r="AH34" i="6"/>
  <c r="AI34" i="6"/>
  <c r="AJ34" i="6"/>
  <c r="AL34" i="6" s="1" a="1"/>
  <c r="AL34" i="6" s="1"/>
  <c r="AK34" i="6"/>
  <c r="AM34" i="6" s="1"/>
  <c r="AE35" i="6"/>
  <c r="AH35" i="6"/>
  <c r="AI35" i="6"/>
  <c r="AJ35" i="6"/>
  <c r="AL35" i="6" s="1" a="1"/>
  <c r="AL35" i="6" s="1"/>
  <c r="AK35" i="6"/>
  <c r="AM35" i="6" s="1"/>
  <c r="AE36" i="6"/>
  <c r="AH36" i="6"/>
  <c r="AI36" i="6"/>
  <c r="AJ36" i="6"/>
  <c r="AL36" i="6" s="1" a="1"/>
  <c r="AL36" i="6" s="1"/>
  <c r="AK36" i="6"/>
  <c r="AM36" i="6" s="1"/>
  <c r="AE37" i="6"/>
  <c r="AH37" i="6"/>
  <c r="AI37" i="6"/>
  <c r="AJ37" i="6"/>
  <c r="AL37" i="6" s="1" a="1"/>
  <c r="AL37" i="6" s="1"/>
  <c r="AK37" i="6"/>
  <c r="AM37" i="6" s="1"/>
  <c r="AE38" i="6"/>
  <c r="AH38" i="6"/>
  <c r="AI38" i="6"/>
  <c r="AJ38" i="6"/>
  <c r="AL38" i="6" s="1" a="1"/>
  <c r="AL38" i="6" s="1"/>
  <c r="AK38" i="6"/>
  <c r="AM38" i="6" s="1"/>
  <c r="AE39" i="6"/>
  <c r="AH39" i="6"/>
  <c r="AI39" i="6"/>
  <c r="AJ39" i="6"/>
  <c r="AL39" i="6" s="1" a="1"/>
  <c r="AL39" i="6" s="1"/>
  <c r="AK39" i="6"/>
  <c r="AN39" i="6" s="1"/>
  <c r="AE40" i="6"/>
  <c r="AH40" i="6"/>
  <c r="AI40" i="6"/>
  <c r="AJ40" i="6"/>
  <c r="AL40" i="6" s="1" a="1"/>
  <c r="AL40" i="6" s="1"/>
  <c r="AK40" i="6"/>
  <c r="AE41" i="6"/>
  <c r="AH41" i="6"/>
  <c r="AI41" i="6"/>
  <c r="AJ41" i="6"/>
  <c r="AL41" i="6" s="1" a="1"/>
  <c r="AL41" i="6" s="1"/>
  <c r="AK41" i="6"/>
  <c r="AN41" i="6" s="1"/>
  <c r="AE42" i="6"/>
  <c r="BD42" i="6" s="1"/>
  <c r="AF42" i="6"/>
  <c r="AG42" i="6"/>
  <c r="AH42" i="6"/>
  <c r="AI42" i="6"/>
  <c r="AJ42" i="6"/>
  <c r="AL42" i="6" s="1" a="1"/>
  <c r="AL42" i="6" s="1"/>
  <c r="AK42" i="6"/>
  <c r="AN42" i="6" s="1"/>
  <c r="AE43" i="6"/>
  <c r="BC43" i="6" s="1"/>
  <c r="AH43" i="6"/>
  <c r="AI43" i="6"/>
  <c r="AJ43" i="6"/>
  <c r="AL43" i="6" s="1" a="1"/>
  <c r="AL43" i="6" s="1"/>
  <c r="AK43" i="6"/>
  <c r="AM43" i="6" s="1"/>
  <c r="AE44" i="6"/>
  <c r="AF44" i="6"/>
  <c r="AH44" i="6"/>
  <c r="AI44" i="6"/>
  <c r="AJ44" i="6"/>
  <c r="AL44" i="6" s="1" a="1"/>
  <c r="AL44" i="6" s="1"/>
  <c r="AK44" i="6"/>
  <c r="AM44" i="6" s="1"/>
  <c r="AE45" i="6"/>
  <c r="BC45" i="6" s="1"/>
  <c r="AF45" i="6"/>
  <c r="AG45" i="6"/>
  <c r="AH45" i="6"/>
  <c r="AI45" i="6"/>
  <c r="AJ45" i="6"/>
  <c r="AL45" i="6" s="1" a="1"/>
  <c r="AL45" i="6" s="1"/>
  <c r="AK45" i="6"/>
  <c r="AM45" i="6" s="1"/>
  <c r="AE46" i="6"/>
  <c r="BG46" i="6" s="1"/>
  <c r="AF46" i="6"/>
  <c r="AG46" i="6"/>
  <c r="AH46" i="6"/>
  <c r="AI46" i="6"/>
  <c r="AJ46" i="6"/>
  <c r="AL46" i="6" s="1" a="1"/>
  <c r="AL46" i="6" s="1"/>
  <c r="AK46" i="6"/>
  <c r="AM46" i="6" s="1"/>
  <c r="AE47" i="6"/>
  <c r="BH47" i="6" s="1"/>
  <c r="AF47" i="6"/>
  <c r="AG47" i="6"/>
  <c r="AH47" i="6"/>
  <c r="AI47" i="6"/>
  <c r="AJ47" i="6"/>
  <c r="AL47" i="6" s="1" a="1"/>
  <c r="AL47" i="6" s="1"/>
  <c r="AK47" i="6"/>
  <c r="AN47" i="6" s="1"/>
  <c r="AE48" i="6"/>
  <c r="BV48" i="6" s="1"/>
  <c r="AF48" i="6"/>
  <c r="AG48" i="6"/>
  <c r="AH48" i="6"/>
  <c r="AI48" i="6"/>
  <c r="AJ48" i="6"/>
  <c r="AL48" i="6" s="1" a="1"/>
  <c r="AL48" i="6" s="1"/>
  <c r="AK48" i="6"/>
  <c r="AE49" i="6"/>
  <c r="AF49" i="6"/>
  <c r="AH49" i="6"/>
  <c r="AI49" i="6"/>
  <c r="AJ49" i="6"/>
  <c r="AL49" i="6" s="1" a="1"/>
  <c r="AL49" i="6" s="1"/>
  <c r="AK49" i="6"/>
  <c r="AN49" i="6" s="1"/>
  <c r="AE50" i="6"/>
  <c r="AF50" i="6"/>
  <c r="AG50" i="6"/>
  <c r="AH50" i="6"/>
  <c r="AI50" i="6"/>
  <c r="AJ50" i="6"/>
  <c r="AL50" i="6" s="1" a="1"/>
  <c r="AL50" i="6" s="1"/>
  <c r="AK50" i="6"/>
  <c r="AN50" i="6" s="1"/>
  <c r="AK2" i="6"/>
  <c r="AM2" i="6" s="1"/>
  <c r="AJ2" i="6"/>
  <c r="AL2" i="6" s="1" a="1"/>
  <c r="AL2" i="6" s="1"/>
  <c r="AI2" i="6"/>
  <c r="AH2" i="6"/>
  <c r="AE2" i="6"/>
  <c r="BD2" i="6" s="1"/>
  <c r="B9" i="6"/>
  <c r="E6" i="10"/>
  <c r="E9" i="6" s="1"/>
  <c r="F6" i="10"/>
  <c r="F9" i="6" s="1"/>
  <c r="C6" i="10"/>
  <c r="B6" i="10"/>
  <c r="AA1" i="4" a="1"/>
  <c r="AA1" i="4" s="1"/>
  <c r="Z1" i="4" a="1"/>
  <c r="Z1" i="4" s="1"/>
  <c r="AN3" i="6" l="1"/>
  <c r="BE47" i="6"/>
  <c r="BG45" i="6"/>
  <c r="BD45" i="6"/>
  <c r="AM19" i="6"/>
  <c r="AW19" i="6" s="1"/>
  <c r="AM11" i="6"/>
  <c r="AN43" i="6"/>
  <c r="AW43" i="6" s="1"/>
  <c r="AN38" i="6"/>
  <c r="BA38" i="6" s="1"/>
  <c r="AN21" i="6"/>
  <c r="AW21" i="6" s="1"/>
  <c r="AN35" i="6"/>
  <c r="AV35" i="6" s="1"/>
  <c r="AM27" i="6"/>
  <c r="AM25" i="6"/>
  <c r="AZ25" i="6" s="1"/>
  <c r="AM9" i="6"/>
  <c r="BJ46" i="6"/>
  <c r="AM22" i="6"/>
  <c r="AM6" i="6"/>
  <c r="AR6" i="6" s="1"/>
  <c r="AN37" i="6"/>
  <c r="AT37" i="6" s="1"/>
  <c r="BH46" i="6"/>
  <c r="AM4" i="6"/>
  <c r="AR4" i="6" s="1"/>
  <c r="BV2" i="6"/>
  <c r="BM2" i="6"/>
  <c r="BO2" i="6"/>
  <c r="AM49" i="6"/>
  <c r="AY49" i="6" s="1"/>
  <c r="AM17" i="6"/>
  <c r="AS17" i="6" s="1"/>
  <c r="AN2" i="6"/>
  <c r="AT2" i="6" s="1"/>
  <c r="AN20" i="6"/>
  <c r="AT20" i="6" s="1"/>
  <c r="BF2" i="6"/>
  <c r="BM43" i="6"/>
  <c r="AM41" i="6"/>
  <c r="AU41" i="6" s="1"/>
  <c r="AM14" i="6"/>
  <c r="AP14" i="6" s="1"/>
  <c r="AN46" i="6"/>
  <c r="AV46" i="6" s="1"/>
  <c r="BH48" i="6"/>
  <c r="BK43" i="6"/>
  <c r="BO45" i="6"/>
  <c r="AU22" i="6"/>
  <c r="BS10" i="6"/>
  <c r="AM31" i="6"/>
  <c r="AT31" i="6" s="1"/>
  <c r="AM12" i="6"/>
  <c r="AU12" i="6" s="1"/>
  <c r="AN45" i="6"/>
  <c r="AP45" i="6" s="1"/>
  <c r="AO45" i="6" s="1"/>
  <c r="BG48" i="6"/>
  <c r="BP10" i="6"/>
  <c r="AN23" i="6"/>
  <c r="AM23" i="6"/>
  <c r="AN15" i="6"/>
  <c r="AM15" i="6"/>
  <c r="BY11" i="6"/>
  <c r="BQ11" i="6"/>
  <c r="BB11" i="6"/>
  <c r="BJ11" i="6"/>
  <c r="BU11" i="6"/>
  <c r="BC11" i="6"/>
  <c r="BL11" i="6"/>
  <c r="BT11" i="6"/>
  <c r="BD11" i="6"/>
  <c r="BM11" i="6"/>
  <c r="BS11" i="6"/>
  <c r="BE11" i="6"/>
  <c r="BH11" i="6"/>
  <c r="BX11" i="6"/>
  <c r="BI11" i="6"/>
  <c r="BV11" i="6"/>
  <c r="BW11" i="6"/>
  <c r="BR11" i="6"/>
  <c r="BP11" i="6"/>
  <c r="BO11" i="6"/>
  <c r="BG11" i="6"/>
  <c r="BN11" i="6"/>
  <c r="BF11" i="6"/>
  <c r="BK11" i="6"/>
  <c r="AM7" i="6"/>
  <c r="AN7" i="6"/>
  <c r="BY3" i="6"/>
  <c r="BQ3" i="6"/>
  <c r="BB3" i="6"/>
  <c r="BJ3" i="6"/>
  <c r="BT3" i="6"/>
  <c r="BK3" i="6"/>
  <c r="BS3" i="6"/>
  <c r="BC3" i="6"/>
  <c r="BL3" i="6"/>
  <c r="BR3" i="6"/>
  <c r="BD3" i="6"/>
  <c r="BM3" i="6"/>
  <c r="BX3" i="6"/>
  <c r="BG3" i="6"/>
  <c r="BW3" i="6"/>
  <c r="BH3" i="6"/>
  <c r="BU3" i="6"/>
  <c r="BV3" i="6"/>
  <c r="BE3" i="6"/>
  <c r="BF3" i="6"/>
  <c r="BI3" i="6"/>
  <c r="BO3" i="6"/>
  <c r="BP3" i="6"/>
  <c r="BN3" i="6"/>
  <c r="AV22" i="6"/>
  <c r="BR44" i="6"/>
  <c r="BU44" i="6"/>
  <c r="BF44" i="6"/>
  <c r="BV44" i="6"/>
  <c r="BT44" i="6"/>
  <c r="BB44" i="6"/>
  <c r="BK44" i="6"/>
  <c r="BS44" i="6"/>
  <c r="BQ44" i="6"/>
  <c r="BY44" i="6"/>
  <c r="BG44" i="6"/>
  <c r="BX44" i="6"/>
  <c r="BH44" i="6"/>
  <c r="BP44" i="6"/>
  <c r="BI44" i="6"/>
  <c r="BJ44" i="6"/>
  <c r="BO44" i="6"/>
  <c r="BC44" i="6"/>
  <c r="BN44" i="6"/>
  <c r="BD44" i="6"/>
  <c r="BE44" i="6"/>
  <c r="BM44" i="6"/>
  <c r="BL44" i="6"/>
  <c r="AN24" i="6"/>
  <c r="AM24" i="6"/>
  <c r="AM42" i="6"/>
  <c r="AZ42" i="6" s="1"/>
  <c r="AZ21" i="6"/>
  <c r="AQ21" i="6"/>
  <c r="BA21" i="6"/>
  <c r="BV49" i="6"/>
  <c r="BN49" i="6"/>
  <c r="BY49" i="6"/>
  <c r="BQ49" i="6"/>
  <c r="BB49" i="6"/>
  <c r="BJ49" i="6"/>
  <c r="BO49" i="6"/>
  <c r="BX49" i="6"/>
  <c r="BF49" i="6"/>
  <c r="BW49" i="6"/>
  <c r="BU49" i="6"/>
  <c r="BP49" i="6"/>
  <c r="BI49" i="6"/>
  <c r="BK49" i="6"/>
  <c r="BT49" i="6"/>
  <c r="BS49" i="6"/>
  <c r="BD49" i="6"/>
  <c r="BR49" i="6"/>
  <c r="BE49" i="6"/>
  <c r="BC49" i="6"/>
  <c r="BG49" i="6"/>
  <c r="BH49" i="6"/>
  <c r="BL49" i="6"/>
  <c r="BR50" i="6"/>
  <c r="BY50" i="6"/>
  <c r="BW50" i="6"/>
  <c r="BU50" i="6"/>
  <c r="BF50" i="6"/>
  <c r="BN50" i="6"/>
  <c r="BX50" i="6"/>
  <c r="BC50" i="6"/>
  <c r="BL50" i="6"/>
  <c r="BV50" i="6"/>
  <c r="BT50" i="6"/>
  <c r="BS50" i="6"/>
  <c r="BQ50" i="6"/>
  <c r="BH50" i="6"/>
  <c r="BP50" i="6"/>
  <c r="BI50" i="6"/>
  <c r="BO50" i="6"/>
  <c r="BE50" i="6"/>
  <c r="BG50" i="6"/>
  <c r="BD50" i="6"/>
  <c r="BJ50" i="6"/>
  <c r="BK50" i="6"/>
  <c r="BM50" i="6"/>
  <c r="AN48" i="6"/>
  <c r="AM48" i="6"/>
  <c r="BR42" i="6"/>
  <c r="BU42" i="6"/>
  <c r="BF42" i="6"/>
  <c r="BX42" i="6"/>
  <c r="BW42" i="6"/>
  <c r="BH42" i="6"/>
  <c r="BV42" i="6"/>
  <c r="BT42" i="6"/>
  <c r="BJ42" i="6"/>
  <c r="BK42" i="6"/>
  <c r="BS42" i="6"/>
  <c r="BC42" i="6"/>
  <c r="BM42" i="6"/>
  <c r="BY42" i="6"/>
  <c r="BQ42" i="6"/>
  <c r="BB42" i="6"/>
  <c r="BE42" i="6"/>
  <c r="BG42" i="6"/>
  <c r="BI42" i="6"/>
  <c r="BO42" i="6"/>
  <c r="BP42" i="6"/>
  <c r="BL42" i="6"/>
  <c r="BN42" i="6"/>
  <c r="AN40" i="6"/>
  <c r="AM40" i="6"/>
  <c r="AN26" i="6"/>
  <c r="AM26" i="6"/>
  <c r="AN18" i="6"/>
  <c r="AM18" i="6"/>
  <c r="AN10" i="6"/>
  <c r="AM10" i="6"/>
  <c r="BU6" i="6"/>
  <c r="BF6" i="6"/>
  <c r="BT6" i="6"/>
  <c r="BB6" i="6"/>
  <c r="BK6" i="6"/>
  <c r="BS6" i="6"/>
  <c r="BC6" i="6"/>
  <c r="BL6" i="6"/>
  <c r="BR6" i="6"/>
  <c r="BD6" i="6"/>
  <c r="BM6" i="6"/>
  <c r="BQ6" i="6"/>
  <c r="BP6" i="6"/>
  <c r="BN6" i="6"/>
  <c r="BG6" i="6"/>
  <c r="BJ6" i="6"/>
  <c r="BY6" i="6"/>
  <c r="BX6" i="6"/>
  <c r="BW6" i="6"/>
  <c r="BE6" i="6"/>
  <c r="BO6" i="6"/>
  <c r="BV6" i="6"/>
  <c r="BH6" i="6"/>
  <c r="BI6" i="6"/>
  <c r="AM39" i="6"/>
  <c r="AS39" i="6" s="1"/>
  <c r="AT17" i="6"/>
  <c r="AU17" i="6"/>
  <c r="BU4" i="6"/>
  <c r="BF4" i="6"/>
  <c r="BQ4" i="6"/>
  <c r="BH4" i="6"/>
  <c r="BY4" i="6"/>
  <c r="BP4" i="6"/>
  <c r="BI4" i="6"/>
  <c r="BX4" i="6"/>
  <c r="BO4" i="6"/>
  <c r="BJ4" i="6"/>
  <c r="BK4" i="6"/>
  <c r="BL4" i="6"/>
  <c r="BV4" i="6"/>
  <c r="BB4" i="6"/>
  <c r="BN4" i="6"/>
  <c r="BM4" i="6"/>
  <c r="BT4" i="6"/>
  <c r="BS4" i="6"/>
  <c r="BR4" i="6"/>
  <c r="BD4" i="6"/>
  <c r="BC4" i="6"/>
  <c r="BE4" i="6"/>
  <c r="AQ11" i="6"/>
  <c r="AY11" i="6"/>
  <c r="AU11" i="6"/>
  <c r="AV11" i="6"/>
  <c r="AZ11" i="6"/>
  <c r="BA11" i="6"/>
  <c r="AT11" i="6"/>
  <c r="AW11" i="6"/>
  <c r="AX11" i="6"/>
  <c r="AP11" i="6"/>
  <c r="AP19" i="6"/>
  <c r="AT19" i="6"/>
  <c r="AV19" i="6"/>
  <c r="AM50" i="6"/>
  <c r="AQ50" i="6" s="1"/>
  <c r="AN8" i="6"/>
  <c r="AS11" i="6"/>
  <c r="BB50" i="6"/>
  <c r="BW44" i="6"/>
  <c r="AT22" i="6"/>
  <c r="AS22" i="6"/>
  <c r="AW22" i="6"/>
  <c r="AX22" i="6"/>
  <c r="AY22" i="6"/>
  <c r="BA22" i="6"/>
  <c r="AP22" i="6"/>
  <c r="AZ22" i="6"/>
  <c r="AQ22" i="6"/>
  <c r="AR22" i="6"/>
  <c r="AV6" i="6"/>
  <c r="AP6" i="6"/>
  <c r="AO6" i="6" s="1"/>
  <c r="AR11" i="6"/>
  <c r="BM49" i="6"/>
  <c r="AN16" i="6"/>
  <c r="AM16" i="6"/>
  <c r="AP25" i="6"/>
  <c r="AX25" i="6"/>
  <c r="AT25" i="6"/>
  <c r="AR25" i="6"/>
  <c r="AS25" i="6"/>
  <c r="AM47" i="6"/>
  <c r="AX47" i="6" s="1"/>
  <c r="AW35" i="6"/>
  <c r="BG4" i="6"/>
  <c r="BV43" i="6"/>
  <c r="BN43" i="6"/>
  <c r="BY43" i="6"/>
  <c r="BQ43" i="6"/>
  <c r="BB43" i="6"/>
  <c r="BJ43" i="6"/>
  <c r="BW43" i="6"/>
  <c r="BU43" i="6"/>
  <c r="BE43" i="6"/>
  <c r="BT43" i="6"/>
  <c r="BS43" i="6"/>
  <c r="BP43" i="6"/>
  <c r="BH43" i="6"/>
  <c r="BO43" i="6"/>
  <c r="BI43" i="6"/>
  <c r="BL43" i="6"/>
  <c r="BR43" i="6"/>
  <c r="BD43" i="6"/>
  <c r="BF43" i="6"/>
  <c r="AN44" i="6"/>
  <c r="AN36" i="6"/>
  <c r="BE2" i="6"/>
  <c r="BE48" i="6"/>
  <c r="BI46" i="6"/>
  <c r="BG43" i="6"/>
  <c r="BX46" i="6"/>
  <c r="BT47" i="6"/>
  <c r="BV45" i="6"/>
  <c r="BN45" i="6"/>
  <c r="BY45" i="6"/>
  <c r="BQ45" i="6"/>
  <c r="BB45" i="6"/>
  <c r="BJ45" i="6"/>
  <c r="BT45" i="6"/>
  <c r="BS45" i="6"/>
  <c r="BH45" i="6"/>
  <c r="BR45" i="6"/>
  <c r="BP45" i="6"/>
  <c r="BU45" i="6"/>
  <c r="BE45" i="6"/>
  <c r="BF45" i="6"/>
  <c r="BX45" i="6"/>
  <c r="BK45" i="6"/>
  <c r="BW45" i="6"/>
  <c r="BL45" i="6"/>
  <c r="BI47" i="6"/>
  <c r="BU47" i="6"/>
  <c r="BK47" i="6"/>
  <c r="BR46" i="6"/>
  <c r="BU46" i="6"/>
  <c r="BF46" i="6"/>
  <c r="BS46" i="6"/>
  <c r="BQ46" i="6"/>
  <c r="BE46" i="6"/>
  <c r="BP46" i="6"/>
  <c r="BY46" i="6"/>
  <c r="BO46" i="6"/>
  <c r="BW46" i="6"/>
  <c r="BC46" i="6"/>
  <c r="BM46" i="6"/>
  <c r="BV46" i="6"/>
  <c r="BD46" i="6"/>
  <c r="BN46" i="6"/>
  <c r="BT46" i="6"/>
  <c r="BK46" i="6"/>
  <c r="BL46" i="6"/>
  <c r="BU10" i="6"/>
  <c r="BF10" i="6"/>
  <c r="BX10" i="6"/>
  <c r="BO10" i="6"/>
  <c r="BE10" i="6"/>
  <c r="BW10" i="6"/>
  <c r="BN10" i="6"/>
  <c r="BG10" i="6"/>
  <c r="BV10" i="6"/>
  <c r="BH10" i="6"/>
  <c r="BY10" i="6"/>
  <c r="BD10" i="6"/>
  <c r="BT10" i="6"/>
  <c r="BI10" i="6"/>
  <c r="BR10" i="6"/>
  <c r="BK10" i="6"/>
  <c r="BL10" i="6"/>
  <c r="BM10" i="6"/>
  <c r="BB46" i="6"/>
  <c r="BJ10" i="6"/>
  <c r="BX43" i="6"/>
  <c r="BQ48" i="6"/>
  <c r="BV47" i="6"/>
  <c r="BN47" i="6"/>
  <c r="BY47" i="6"/>
  <c r="BQ47" i="6"/>
  <c r="BB47" i="6"/>
  <c r="BJ47" i="6"/>
  <c r="BR47" i="6"/>
  <c r="BP47" i="6"/>
  <c r="BC47" i="6"/>
  <c r="BL47" i="6"/>
  <c r="BO47" i="6"/>
  <c r="BX47" i="6"/>
  <c r="BS47" i="6"/>
  <c r="BM47" i="6"/>
  <c r="BD47" i="6"/>
  <c r="BW47" i="6"/>
  <c r="AN5" i="6"/>
  <c r="BM48" i="6"/>
  <c r="BG47" i="6"/>
  <c r="BM45" i="6"/>
  <c r="BC10" i="6"/>
  <c r="BS2" i="6"/>
  <c r="BC2" i="6"/>
  <c r="BK2" i="6"/>
  <c r="BQ2" i="6"/>
  <c r="BN2" i="6"/>
  <c r="BJ2" i="6"/>
  <c r="BR2" i="6"/>
  <c r="BT2" i="6"/>
  <c r="BP2" i="6"/>
  <c r="BG2" i="6"/>
  <c r="BU2" i="6"/>
  <c r="BH2" i="6"/>
  <c r="BW2" i="6"/>
  <c r="BY2" i="6"/>
  <c r="BI2" i="6"/>
  <c r="BL2" i="6"/>
  <c r="BR48" i="6"/>
  <c r="BU48" i="6"/>
  <c r="BF48" i="6"/>
  <c r="BP48" i="6"/>
  <c r="BY48" i="6"/>
  <c r="BO48" i="6"/>
  <c r="BI48" i="6"/>
  <c r="BX48" i="6"/>
  <c r="BN48" i="6"/>
  <c r="BW48" i="6"/>
  <c r="BT48" i="6"/>
  <c r="BK48" i="6"/>
  <c r="BS48" i="6"/>
  <c r="BB48" i="6"/>
  <c r="BL48" i="6"/>
  <c r="BC48" i="6"/>
  <c r="BD48" i="6"/>
  <c r="AM13" i="6"/>
  <c r="AQ13" i="6" s="1"/>
  <c r="BB2" i="6"/>
  <c r="BJ48" i="6"/>
  <c r="BF47" i="6"/>
  <c r="BI45" i="6"/>
  <c r="BB10" i="6"/>
  <c r="BX2" i="6"/>
  <c r="AW27" i="6"/>
  <c r="AS27" i="6"/>
  <c r="AU27" i="6"/>
  <c r="AV27" i="6"/>
  <c r="AP27" i="6"/>
  <c r="AX27" i="6"/>
  <c r="AQ27" i="6"/>
  <c r="AY27" i="6"/>
  <c r="BA27" i="6"/>
  <c r="AT27" i="6"/>
  <c r="AR27" i="6"/>
  <c r="AZ27" i="6"/>
  <c r="AN34" i="6"/>
  <c r="AX34" i="6" s="1"/>
  <c r="AR31" i="6"/>
  <c r="AN33" i="6"/>
  <c r="AT33" i="6" s="1"/>
  <c r="AN32" i="6"/>
  <c r="AV32" i="6" s="1"/>
  <c r="AU28" i="6"/>
  <c r="AY28" i="6"/>
  <c r="AR28" i="6"/>
  <c r="AS31" i="6"/>
  <c r="AM29" i="6"/>
  <c r="AN29" i="6"/>
  <c r="AV28" i="6"/>
  <c r="AP31" i="6"/>
  <c r="AX31" i="6"/>
  <c r="AQ31" i="6"/>
  <c r="AY31" i="6"/>
  <c r="AU31" i="6"/>
  <c r="AV31" i="6"/>
  <c r="AN30" i="6"/>
  <c r="BA31" i="6"/>
  <c r="AM28" i="6"/>
  <c r="AS28" i="6" s="1"/>
  <c r="AZ31" i="6"/>
  <c r="AW31" i="6"/>
  <c r="BA28" i="6"/>
  <c r="G11" i="10"/>
  <c r="G6" i="10"/>
  <c r="G9" i="6" s="1"/>
  <c r="AT9" i="6"/>
  <c r="AR9" i="6"/>
  <c r="AU9" i="6"/>
  <c r="AV9" i="6"/>
  <c r="AZ9" i="6"/>
  <c r="AW9" i="6"/>
  <c r="AP9" i="6"/>
  <c r="AX9" i="6"/>
  <c r="AQ9" i="6"/>
  <c r="AY9" i="6"/>
  <c r="AS9" i="6"/>
  <c r="BA9" i="6"/>
  <c r="AW3" i="6"/>
  <c r="AP3" i="6"/>
  <c r="AX3" i="6"/>
  <c r="AY3" i="6"/>
  <c r="AU3" i="6"/>
  <c r="AV3" i="6"/>
  <c r="AQ3" i="6"/>
  <c r="AR3" i="6"/>
  <c r="AZ3" i="6"/>
  <c r="AS3" i="6"/>
  <c r="BA3" i="6"/>
  <c r="AT3" i="6"/>
  <c r="D9" i="6"/>
  <c r="C9" i="6"/>
  <c r="AU43" i="6" l="1"/>
  <c r="AT43" i="6"/>
  <c r="AX35" i="6"/>
  <c r="AQ25" i="6"/>
  <c r="AS6" i="6"/>
  <c r="AW49" i="6"/>
  <c r="AR45" i="6"/>
  <c r="BA45" i="6"/>
  <c r="AT38" i="6"/>
  <c r="AS45" i="6"/>
  <c r="AT46" i="6"/>
  <c r="AY21" i="6"/>
  <c r="AU19" i="6"/>
  <c r="AV21" i="6"/>
  <c r="AS35" i="6"/>
  <c r="AR14" i="6"/>
  <c r="AU21" i="6"/>
  <c r="AY41" i="6"/>
  <c r="AY35" i="6"/>
  <c r="AP35" i="6"/>
  <c r="AQ41" i="6"/>
  <c r="AR35" i="6"/>
  <c r="AQ14" i="6"/>
  <c r="AX41" i="6"/>
  <c r="AR20" i="6"/>
  <c r="AU35" i="6"/>
  <c r="BA35" i="6"/>
  <c r="AY14" i="6"/>
  <c r="AS41" i="6"/>
  <c r="AQ35" i="6"/>
  <c r="AT35" i="6"/>
  <c r="AZ35" i="6"/>
  <c r="AT45" i="6"/>
  <c r="AQ42" i="6"/>
  <c r="AR21" i="6"/>
  <c r="AW38" i="6"/>
  <c r="AR43" i="6"/>
  <c r="AZ43" i="6"/>
  <c r="AY43" i="6"/>
  <c r="AZ19" i="6"/>
  <c r="AP49" i="6"/>
  <c r="AO49" i="6" s="1"/>
  <c r="AY19" i="6"/>
  <c r="AX49" i="6"/>
  <c r="AY25" i="6"/>
  <c r="AW6" i="6"/>
  <c r="AX38" i="6"/>
  <c r="BA19" i="6"/>
  <c r="BA43" i="6"/>
  <c r="AW25" i="6"/>
  <c r="AY6" i="6"/>
  <c r="AP38" i="6"/>
  <c r="AR19" i="6"/>
  <c r="AS43" i="6"/>
  <c r="AU6" i="6"/>
  <c r="AT6" i="6"/>
  <c r="AQ43" i="6"/>
  <c r="AV43" i="6"/>
  <c r="BA6" i="6"/>
  <c r="AZ38" i="6"/>
  <c r="AV49" i="6"/>
  <c r="AZ6" i="6"/>
  <c r="AP43" i="6"/>
  <c r="AO43" i="6" s="1"/>
  <c r="AV25" i="6"/>
  <c r="AQ6" i="6"/>
  <c r="AV38" i="6"/>
  <c r="AQ19" i="6"/>
  <c r="BA25" i="6"/>
  <c r="AQ38" i="6"/>
  <c r="AX6" i="6"/>
  <c r="AY38" i="6"/>
  <c r="AS19" i="6"/>
  <c r="AX43" i="6"/>
  <c r="BA49" i="6"/>
  <c r="AU25" i="6"/>
  <c r="AU38" i="6"/>
  <c r="AX19" i="6"/>
  <c r="AZ37" i="6"/>
  <c r="AP37" i="6"/>
  <c r="AX37" i="6"/>
  <c r="AS37" i="6"/>
  <c r="AQ37" i="6"/>
  <c r="AY37" i="6"/>
  <c r="AW37" i="6"/>
  <c r="AV37" i="6"/>
  <c r="BA37" i="6"/>
  <c r="AR37" i="6"/>
  <c r="AW46" i="6"/>
  <c r="AW17" i="6"/>
  <c r="AS49" i="6"/>
  <c r="AS38" i="6"/>
  <c r="AS46" i="6"/>
  <c r="AS21" i="6"/>
  <c r="AZ2" i="6"/>
  <c r="AZ41" i="6"/>
  <c r="AX42" i="6"/>
  <c r="AP12" i="6"/>
  <c r="AR12" i="6"/>
  <c r="AU33" i="6"/>
  <c r="AQ33" i="6"/>
  <c r="AV12" i="6"/>
  <c r="BA41" i="6"/>
  <c r="AR38" i="6"/>
  <c r="AZ45" i="6"/>
  <c r="AX21" i="6"/>
  <c r="AQ2" i="6"/>
  <c r="AP21" i="6"/>
  <c r="AT21" i="6"/>
  <c r="AR33" i="6"/>
  <c r="AV42" i="6"/>
  <c r="AU37" i="6"/>
  <c r="AZ33" i="6"/>
  <c r="AW42" i="6"/>
  <c r="AW12" i="6"/>
  <c r="AT12" i="6"/>
  <c r="AX12" i="6"/>
  <c r="AZ12" i="6"/>
  <c r="AY12" i="6"/>
  <c r="AZ47" i="6"/>
  <c r="AS12" i="6"/>
  <c r="AW47" i="6"/>
  <c r="BA12" i="6"/>
  <c r="AS47" i="6"/>
  <c r="AS13" i="6"/>
  <c r="AX2" i="6"/>
  <c r="AY17" i="6"/>
  <c r="AW2" i="6"/>
  <c r="AU4" i="6"/>
  <c r="BA14" i="6"/>
  <c r="AX45" i="6"/>
  <c r="AZ14" i="6"/>
  <c r="AU14" i="6"/>
  <c r="AX20" i="6"/>
  <c r="AP41" i="6"/>
  <c r="AR2" i="6"/>
  <c r="AQ17" i="6"/>
  <c r="AZ46" i="6"/>
  <c r="AY45" i="6"/>
  <c r="AU49" i="6"/>
  <c r="AZ20" i="6"/>
  <c r="AV2" i="6"/>
  <c r="AT4" i="6"/>
  <c r="AR49" i="6"/>
  <c r="BA2" i="6"/>
  <c r="AV50" i="6"/>
  <c r="BA4" i="6"/>
  <c r="BA20" i="6"/>
  <c r="AX4" i="6"/>
  <c r="AX46" i="6"/>
  <c r="AR46" i="6"/>
  <c r="AV17" i="6"/>
  <c r="AQ20" i="6"/>
  <c r="AV45" i="6"/>
  <c r="AW4" i="6"/>
  <c r="AW14" i="6"/>
  <c r="AT14" i="6"/>
  <c r="AQ45" i="6"/>
  <c r="AW41" i="6"/>
  <c r="AR17" i="6"/>
  <c r="AX17" i="6"/>
  <c r="AQ46" i="6"/>
  <c r="AS2" i="6"/>
  <c r="AY20" i="6"/>
  <c r="AU2" i="6"/>
  <c r="AV4" i="6"/>
  <c r="AY4" i="6"/>
  <c r="AZ49" i="6"/>
  <c r="AU20" i="6"/>
  <c r="AW20" i="6"/>
  <c r="AT49" i="6"/>
  <c r="AY2" i="6"/>
  <c r="AS33" i="6"/>
  <c r="AV33" i="6"/>
  <c r="AW28" i="6"/>
  <c r="AU45" i="6"/>
  <c r="AV14" i="6"/>
  <c r="AV41" i="6"/>
  <c r="BA17" i="6"/>
  <c r="AP17" i="6"/>
  <c r="AY46" i="6"/>
  <c r="AQ12" i="6"/>
  <c r="AV20" i="6"/>
  <c r="AP20" i="6"/>
  <c r="AP2" i="6"/>
  <c r="AR39" i="6"/>
  <c r="AS4" i="6"/>
  <c r="AQ4" i="6"/>
  <c r="AQ49" i="6"/>
  <c r="AR41" i="6"/>
  <c r="AP4" i="6"/>
  <c r="AZ4" i="6"/>
  <c r="BA46" i="6"/>
  <c r="AX14" i="6"/>
  <c r="AT41" i="6"/>
  <c r="AW45" i="6"/>
  <c r="AU47" i="6"/>
  <c r="AS14" i="6"/>
  <c r="AZ17" i="6"/>
  <c r="AU46" i="6"/>
  <c r="AP46" i="6"/>
  <c r="AO46" i="6" s="1"/>
  <c r="AS20" i="6"/>
  <c r="AY50" i="6"/>
  <c r="AS34" i="6"/>
  <c r="AZ34" i="6"/>
  <c r="AW40" i="6"/>
  <c r="AX40" i="6"/>
  <c r="AP40" i="6"/>
  <c r="AY40" i="6"/>
  <c r="AQ40" i="6"/>
  <c r="AZ40" i="6"/>
  <c r="AR40" i="6"/>
  <c r="BA40" i="6"/>
  <c r="AS40" i="6"/>
  <c r="AT40" i="6"/>
  <c r="AU40" i="6"/>
  <c r="AV40" i="6"/>
  <c r="AV47" i="6"/>
  <c r="AP15" i="6"/>
  <c r="AX15" i="6"/>
  <c r="AQ15" i="6"/>
  <c r="AY15" i="6"/>
  <c r="AV15" i="6"/>
  <c r="AW15" i="6"/>
  <c r="AS15" i="6"/>
  <c r="AT15" i="6"/>
  <c r="AU15" i="6"/>
  <c r="BA15" i="6"/>
  <c r="AZ15" i="6"/>
  <c r="AR15" i="6"/>
  <c r="AZ39" i="6"/>
  <c r="AP50" i="6"/>
  <c r="AO50" i="6" s="1"/>
  <c r="AR13" i="6"/>
  <c r="BA50" i="6"/>
  <c r="AY33" i="6"/>
  <c r="AT34" i="6"/>
  <c r="AQ28" i="6"/>
  <c r="AT36" i="6"/>
  <c r="AU36" i="6"/>
  <c r="AX36" i="6"/>
  <c r="AY36" i="6"/>
  <c r="AP36" i="6"/>
  <c r="AZ36" i="6"/>
  <c r="AR36" i="6"/>
  <c r="AQ36" i="6"/>
  <c r="BA36" i="6"/>
  <c r="AS36" i="6"/>
  <c r="AV36" i="6"/>
  <c r="AW36" i="6"/>
  <c r="AT47" i="6"/>
  <c r="AP42" i="6"/>
  <c r="AO42" i="6" s="1"/>
  <c r="AP39" i="6"/>
  <c r="AW48" i="6"/>
  <c r="AS48" i="6"/>
  <c r="AT48" i="6"/>
  <c r="AU48" i="6"/>
  <c r="AX48" i="6"/>
  <c r="AV48" i="6"/>
  <c r="AP48" i="6"/>
  <c r="AO48" i="6" s="1"/>
  <c r="AY48" i="6"/>
  <c r="AQ48" i="6"/>
  <c r="AR48" i="6"/>
  <c r="BA48" i="6"/>
  <c r="AZ48" i="6"/>
  <c r="AR47" i="6"/>
  <c r="BA47" i="6"/>
  <c r="AU42" i="6"/>
  <c r="AQ39" i="6"/>
  <c r="AX50" i="6"/>
  <c r="BA13" i="6"/>
  <c r="AT24" i="6"/>
  <c r="AW24" i="6"/>
  <c r="AS24" i="6"/>
  <c r="AU24" i="6"/>
  <c r="AV24" i="6"/>
  <c r="AY24" i="6"/>
  <c r="AX24" i="6"/>
  <c r="AP24" i="6"/>
  <c r="AZ24" i="6"/>
  <c r="AQ24" i="6"/>
  <c r="AR24" i="6"/>
  <c r="BA24" i="6"/>
  <c r="AP23" i="6"/>
  <c r="AX23" i="6"/>
  <c r="AQ23" i="6"/>
  <c r="AZ23" i="6"/>
  <c r="AU23" i="6"/>
  <c r="AV23" i="6"/>
  <c r="AW23" i="6"/>
  <c r="AY23" i="6"/>
  <c r="BA23" i="6"/>
  <c r="AR23" i="6"/>
  <c r="AT23" i="6"/>
  <c r="AS23" i="6"/>
  <c r="BA39" i="6"/>
  <c r="AZ13" i="6"/>
  <c r="AX33" i="6"/>
  <c r="AT28" i="6"/>
  <c r="AR50" i="6"/>
  <c r="AT50" i="6"/>
  <c r="AY42" i="6"/>
  <c r="AW13" i="6"/>
  <c r="AY47" i="6"/>
  <c r="AT42" i="6"/>
  <c r="AW39" i="6"/>
  <c r="AW50" i="6"/>
  <c r="AY13" i="6"/>
  <c r="AX39" i="6"/>
  <c r="AY39" i="6"/>
  <c r="AP33" i="6"/>
  <c r="AQ8" i="6"/>
  <c r="AY8" i="6"/>
  <c r="AR8" i="6"/>
  <c r="BA8" i="6"/>
  <c r="AS8" i="6"/>
  <c r="AX8" i="6"/>
  <c r="AZ8" i="6"/>
  <c r="AP8" i="6"/>
  <c r="AU8" i="6"/>
  <c r="AT8" i="6"/>
  <c r="AV8" i="6"/>
  <c r="AW8" i="6"/>
  <c r="AU10" i="6"/>
  <c r="AX10" i="6"/>
  <c r="AP10" i="6"/>
  <c r="AY10" i="6"/>
  <c r="AZ10" i="6"/>
  <c r="BA10" i="6"/>
  <c r="AR10" i="6"/>
  <c r="AW10" i="6"/>
  <c r="AS10" i="6"/>
  <c r="AT10" i="6"/>
  <c r="AV10" i="6"/>
  <c r="AQ10" i="6"/>
  <c r="AT18" i="6"/>
  <c r="AU18" i="6"/>
  <c r="AR18" i="6"/>
  <c r="AS18" i="6"/>
  <c r="AY18" i="6"/>
  <c r="AZ18" i="6"/>
  <c r="BA18" i="6"/>
  <c r="AQ18" i="6"/>
  <c r="AP18" i="6"/>
  <c r="AV18" i="6"/>
  <c r="AW18" i="6"/>
  <c r="AX18" i="6"/>
  <c r="AP47" i="6"/>
  <c r="AO47" i="6" s="1"/>
  <c r="AS42" i="6"/>
  <c r="AU39" i="6"/>
  <c r="AS50" i="6"/>
  <c r="AV13" i="6"/>
  <c r="AP13" i="6"/>
  <c r="AU5" i="6"/>
  <c r="AQ5" i="6"/>
  <c r="AZ5" i="6"/>
  <c r="AR5" i="6"/>
  <c r="BA5" i="6"/>
  <c r="AX5" i="6"/>
  <c r="AY5" i="6"/>
  <c r="AP5" i="6"/>
  <c r="AS5" i="6"/>
  <c r="AT5" i="6"/>
  <c r="AW5" i="6"/>
  <c r="AV5" i="6"/>
  <c r="AT16" i="6"/>
  <c r="AU16" i="6"/>
  <c r="AV16" i="6"/>
  <c r="AW16" i="6"/>
  <c r="AS16" i="6"/>
  <c r="AX16" i="6"/>
  <c r="AY16" i="6"/>
  <c r="AZ16" i="6"/>
  <c r="BA16" i="6"/>
  <c r="AP16" i="6"/>
  <c r="AQ16" i="6"/>
  <c r="AR16" i="6"/>
  <c r="AO22" i="6"/>
  <c r="AU50" i="6"/>
  <c r="AQ47" i="6"/>
  <c r="BA42" i="6"/>
  <c r="AU7" i="6"/>
  <c r="AT7" i="6"/>
  <c r="AV7" i="6"/>
  <c r="AY7" i="6"/>
  <c r="AZ7" i="6"/>
  <c r="AX7" i="6"/>
  <c r="BA7" i="6"/>
  <c r="AP7" i="6"/>
  <c r="AQ7" i="6"/>
  <c r="AR7" i="6"/>
  <c r="AS7" i="6"/>
  <c r="AW7" i="6"/>
  <c r="AV39" i="6"/>
  <c r="AZ50" i="6"/>
  <c r="AT13" i="6"/>
  <c r="AX13" i="6"/>
  <c r="AW44" i="6"/>
  <c r="AU44" i="6"/>
  <c r="AV44" i="6"/>
  <c r="AX44" i="6"/>
  <c r="AQ44" i="6"/>
  <c r="AP44" i="6"/>
  <c r="AO44" i="6" s="1"/>
  <c r="AY44" i="6"/>
  <c r="AR44" i="6"/>
  <c r="BA44" i="6"/>
  <c r="AT44" i="6"/>
  <c r="AZ44" i="6"/>
  <c r="AS44" i="6"/>
  <c r="AW34" i="6"/>
  <c r="AW33" i="6"/>
  <c r="BA33" i="6"/>
  <c r="AO11" i="6"/>
  <c r="AT26" i="6"/>
  <c r="AQ26" i="6"/>
  <c r="AZ26" i="6"/>
  <c r="AP26" i="6"/>
  <c r="BA26" i="6"/>
  <c r="AR26" i="6"/>
  <c r="AS26" i="6"/>
  <c r="AV26" i="6"/>
  <c r="AU26" i="6"/>
  <c r="AW26" i="6"/>
  <c r="AY26" i="6"/>
  <c r="AX26" i="6"/>
  <c r="AR42" i="6"/>
  <c r="AT39" i="6"/>
  <c r="AU13" i="6"/>
  <c r="AO27" i="6"/>
  <c r="AT32" i="6"/>
  <c r="AP32" i="6"/>
  <c r="AS32" i="6"/>
  <c r="AW32" i="6"/>
  <c r="AX32" i="6"/>
  <c r="BA32" i="6"/>
  <c r="AU32" i="6"/>
  <c r="AR34" i="6"/>
  <c r="AY32" i="6"/>
  <c r="AV34" i="6"/>
  <c r="AY34" i="6"/>
  <c r="AP34" i="6"/>
  <c r="AR32" i="6"/>
  <c r="AQ34" i="6"/>
  <c r="BA34" i="6"/>
  <c r="AQ32" i="6"/>
  <c r="AX28" i="6"/>
  <c r="AP28" i="6"/>
  <c r="AZ32" i="6"/>
  <c r="AU34" i="6"/>
  <c r="AZ28" i="6"/>
  <c r="AT30" i="6"/>
  <c r="AU30" i="6"/>
  <c r="AQ30" i="6"/>
  <c r="AY30" i="6"/>
  <c r="AR30" i="6"/>
  <c r="AZ30" i="6"/>
  <c r="AS30" i="6"/>
  <c r="AV30" i="6"/>
  <c r="AW30" i="6"/>
  <c r="AX30" i="6"/>
  <c r="BA30" i="6"/>
  <c r="AP30" i="6"/>
  <c r="AP29" i="6"/>
  <c r="AX29" i="6"/>
  <c r="AQ29" i="6"/>
  <c r="AY29" i="6"/>
  <c r="AU29" i="6"/>
  <c r="AV29" i="6"/>
  <c r="AR29" i="6"/>
  <c r="AS29" i="6"/>
  <c r="AT29" i="6"/>
  <c r="AW29" i="6"/>
  <c r="AZ29" i="6"/>
  <c r="BA29" i="6"/>
  <c r="AO31" i="6"/>
  <c r="H11" i="10"/>
  <c r="H6" i="10"/>
  <c r="AO9" i="6"/>
  <c r="AO3" i="6"/>
  <c r="AZ106" i="3"/>
  <c r="BA106" i="3" s="1"/>
  <c r="AT106" i="3"/>
  <c r="AU106" i="3" s="1"/>
  <c r="AN106" i="3"/>
  <c r="AO106" i="3" s="1"/>
  <c r="AZ105" i="3"/>
  <c r="BA105" i="3" s="1"/>
  <c r="AT105" i="3"/>
  <c r="AU105" i="3" s="1"/>
  <c r="AN105" i="3"/>
  <c r="AO105" i="3" s="1"/>
  <c r="AZ104" i="3"/>
  <c r="BA104" i="3" s="1"/>
  <c r="AT104" i="3"/>
  <c r="AU104" i="3" s="1"/>
  <c r="AN104" i="3"/>
  <c r="AO104" i="3" s="1"/>
  <c r="AZ103" i="3"/>
  <c r="BA103" i="3" s="1"/>
  <c r="AT103" i="3"/>
  <c r="AU103" i="3" s="1"/>
  <c r="AN103" i="3"/>
  <c r="AO103" i="3" s="1"/>
  <c r="AZ102" i="3"/>
  <c r="BA102" i="3" s="1"/>
  <c r="AT102" i="3"/>
  <c r="AU102" i="3" s="1"/>
  <c r="AN102" i="3"/>
  <c r="AO102" i="3" s="1"/>
  <c r="AZ101" i="3"/>
  <c r="BA101" i="3" s="1"/>
  <c r="AT101" i="3"/>
  <c r="AU101" i="3" s="1"/>
  <c r="AN101" i="3"/>
  <c r="AO101" i="3" s="1"/>
  <c r="AZ100" i="3"/>
  <c r="BA100" i="3" s="1"/>
  <c r="AT100" i="3"/>
  <c r="AU100" i="3" s="1"/>
  <c r="AN100" i="3"/>
  <c r="AO100" i="3" s="1"/>
  <c r="AZ99" i="3"/>
  <c r="BA99" i="3" s="1"/>
  <c r="AT99" i="3"/>
  <c r="AU99" i="3" s="1"/>
  <c r="AN99" i="3"/>
  <c r="AO99" i="3" s="1"/>
  <c r="AZ94" i="3"/>
  <c r="BA94" i="3" s="1"/>
  <c r="AT94" i="3"/>
  <c r="AU94" i="3" s="1"/>
  <c r="AN94" i="3"/>
  <c r="AO94" i="3" s="1"/>
  <c r="AZ93" i="3"/>
  <c r="BA93" i="3" s="1"/>
  <c r="AT93" i="3"/>
  <c r="AU93" i="3" s="1"/>
  <c r="AN93" i="3"/>
  <c r="AO93" i="3" s="1"/>
  <c r="AZ92" i="3"/>
  <c r="BA92" i="3" s="1"/>
  <c r="AT92" i="3"/>
  <c r="AU92" i="3" s="1"/>
  <c r="AN92" i="3"/>
  <c r="AO92" i="3" s="1"/>
  <c r="AZ91" i="3"/>
  <c r="BA91" i="3" s="1"/>
  <c r="AT91" i="3"/>
  <c r="AU91" i="3" s="1"/>
  <c r="AN91" i="3"/>
  <c r="AO91" i="3" s="1"/>
  <c r="AZ90" i="3"/>
  <c r="BA90" i="3" s="1"/>
  <c r="AT90" i="3"/>
  <c r="AU90" i="3" s="1"/>
  <c r="AN90" i="3"/>
  <c r="AO90" i="3" s="1"/>
  <c r="AZ89" i="3"/>
  <c r="BA89" i="3" s="1"/>
  <c r="AT89" i="3"/>
  <c r="AU89" i="3" s="1"/>
  <c r="AN89" i="3"/>
  <c r="AO89" i="3" s="1"/>
  <c r="AZ88" i="3"/>
  <c r="BA88" i="3" s="1"/>
  <c r="AT88" i="3"/>
  <c r="AU88" i="3" s="1"/>
  <c r="AN88" i="3"/>
  <c r="AO88" i="3" s="1"/>
  <c r="AZ87" i="3"/>
  <c r="BA87" i="3" s="1"/>
  <c r="AT87" i="3"/>
  <c r="AU87" i="3" s="1"/>
  <c r="AN87" i="3"/>
  <c r="AO87" i="3" s="1"/>
  <c r="AZ82" i="3"/>
  <c r="BA82" i="3" s="1"/>
  <c r="AT82" i="3"/>
  <c r="AU82" i="3" s="1"/>
  <c r="AN82" i="3"/>
  <c r="AO82" i="3" s="1"/>
  <c r="AZ81" i="3"/>
  <c r="BA81" i="3" s="1"/>
  <c r="AT81" i="3"/>
  <c r="AU81" i="3" s="1"/>
  <c r="AN81" i="3"/>
  <c r="AO81" i="3" s="1"/>
  <c r="AZ80" i="3"/>
  <c r="BA80" i="3" s="1"/>
  <c r="AT80" i="3"/>
  <c r="AU80" i="3" s="1"/>
  <c r="AN80" i="3"/>
  <c r="AO80" i="3" s="1"/>
  <c r="AZ79" i="3"/>
  <c r="BA79" i="3" s="1"/>
  <c r="AT79" i="3"/>
  <c r="AU79" i="3" s="1"/>
  <c r="AN79" i="3"/>
  <c r="AO79" i="3" s="1"/>
  <c r="AZ78" i="3"/>
  <c r="BA78" i="3" s="1"/>
  <c r="AT78" i="3"/>
  <c r="AU78" i="3" s="1"/>
  <c r="AN78" i="3"/>
  <c r="AO78" i="3" s="1"/>
  <c r="AZ77" i="3"/>
  <c r="BA77" i="3" s="1"/>
  <c r="AT77" i="3"/>
  <c r="AU77" i="3" s="1"/>
  <c r="AN77" i="3"/>
  <c r="AO77" i="3" s="1"/>
  <c r="AZ76" i="3"/>
  <c r="BA76" i="3" s="1"/>
  <c r="AT76" i="3"/>
  <c r="AU76" i="3" s="1"/>
  <c r="AN76" i="3"/>
  <c r="AO76" i="3" s="1"/>
  <c r="AZ75" i="3"/>
  <c r="BA75" i="3" s="1"/>
  <c r="AT75" i="3"/>
  <c r="AU75" i="3" s="1"/>
  <c r="AN75" i="3"/>
  <c r="AO75" i="3" s="1"/>
  <c r="AZ70" i="3"/>
  <c r="BA70" i="3" s="1"/>
  <c r="AT70" i="3"/>
  <c r="AU70" i="3" s="1"/>
  <c r="AN70" i="3"/>
  <c r="AO70" i="3" s="1"/>
  <c r="AZ69" i="3"/>
  <c r="BA69" i="3" s="1"/>
  <c r="AT69" i="3"/>
  <c r="AU69" i="3" s="1"/>
  <c r="AN69" i="3"/>
  <c r="AO69" i="3" s="1"/>
  <c r="AZ68" i="3"/>
  <c r="BA68" i="3" s="1"/>
  <c r="AT68" i="3"/>
  <c r="AU68" i="3" s="1"/>
  <c r="AN68" i="3"/>
  <c r="AO68" i="3" s="1"/>
  <c r="AZ67" i="3"/>
  <c r="BA67" i="3" s="1"/>
  <c r="AT67" i="3"/>
  <c r="AU67" i="3" s="1"/>
  <c r="AN67" i="3"/>
  <c r="AO67" i="3" s="1"/>
  <c r="AZ66" i="3"/>
  <c r="BA66" i="3" s="1"/>
  <c r="AT66" i="3"/>
  <c r="AU66" i="3" s="1"/>
  <c r="AN66" i="3"/>
  <c r="AO66" i="3" s="1"/>
  <c r="AZ65" i="3"/>
  <c r="BA65" i="3" s="1"/>
  <c r="AT65" i="3"/>
  <c r="AU65" i="3" s="1"/>
  <c r="AN65" i="3"/>
  <c r="AO65" i="3" s="1"/>
  <c r="AZ64" i="3"/>
  <c r="BA64" i="3" s="1"/>
  <c r="AT64" i="3"/>
  <c r="AU64" i="3" s="1"/>
  <c r="AN64" i="3"/>
  <c r="AO64" i="3" s="1"/>
  <c r="AZ63" i="3"/>
  <c r="BA63" i="3" s="1"/>
  <c r="AT63" i="3"/>
  <c r="AU63" i="3" s="1"/>
  <c r="AN63" i="3"/>
  <c r="AO63" i="3" s="1"/>
  <c r="AZ58" i="3"/>
  <c r="BA58" i="3" s="1"/>
  <c r="AT58" i="3"/>
  <c r="AU58" i="3" s="1"/>
  <c r="AN58" i="3"/>
  <c r="AO58" i="3" s="1"/>
  <c r="AZ57" i="3"/>
  <c r="BA57" i="3" s="1"/>
  <c r="AT57" i="3"/>
  <c r="AU57" i="3" s="1"/>
  <c r="AN57" i="3"/>
  <c r="AO57" i="3" s="1"/>
  <c r="AZ56" i="3"/>
  <c r="BA56" i="3" s="1"/>
  <c r="AT56" i="3"/>
  <c r="AU56" i="3" s="1"/>
  <c r="AN56" i="3"/>
  <c r="AO56" i="3" s="1"/>
  <c r="AZ55" i="3"/>
  <c r="BA55" i="3" s="1"/>
  <c r="AT55" i="3"/>
  <c r="AU55" i="3" s="1"/>
  <c r="AN55" i="3"/>
  <c r="AO55" i="3" s="1"/>
  <c r="AZ54" i="3"/>
  <c r="BA54" i="3" s="1"/>
  <c r="AT54" i="3"/>
  <c r="AU54" i="3" s="1"/>
  <c r="AN54" i="3"/>
  <c r="AO54" i="3" s="1"/>
  <c r="AZ53" i="3"/>
  <c r="BA53" i="3" s="1"/>
  <c r="AT53" i="3"/>
  <c r="AU53" i="3" s="1"/>
  <c r="AN53" i="3"/>
  <c r="AO53" i="3" s="1"/>
  <c r="AZ52" i="3"/>
  <c r="BA52" i="3" s="1"/>
  <c r="AT52" i="3"/>
  <c r="AU52" i="3" s="1"/>
  <c r="AN52" i="3"/>
  <c r="AO52" i="3" s="1"/>
  <c r="AZ51" i="3"/>
  <c r="BA51" i="3" s="1"/>
  <c r="AT51" i="3"/>
  <c r="AU51" i="3" s="1"/>
  <c r="AN51" i="3"/>
  <c r="AO51" i="3" s="1"/>
  <c r="AZ46" i="3"/>
  <c r="BA46" i="3" s="1"/>
  <c r="AT46" i="3"/>
  <c r="AU46" i="3" s="1"/>
  <c r="AN46" i="3"/>
  <c r="AO46" i="3" s="1"/>
  <c r="AZ45" i="3"/>
  <c r="BA45" i="3" s="1"/>
  <c r="AT45" i="3"/>
  <c r="AU45" i="3" s="1"/>
  <c r="AN45" i="3"/>
  <c r="AO45" i="3" s="1"/>
  <c r="AZ44" i="3"/>
  <c r="BA44" i="3" s="1"/>
  <c r="AT44" i="3"/>
  <c r="AU44" i="3" s="1"/>
  <c r="AN44" i="3"/>
  <c r="AO44" i="3" s="1"/>
  <c r="AZ43" i="3"/>
  <c r="BA43" i="3" s="1"/>
  <c r="AT43" i="3"/>
  <c r="AU43" i="3" s="1"/>
  <c r="AN43" i="3"/>
  <c r="AO43" i="3" s="1"/>
  <c r="AZ42" i="3"/>
  <c r="BA42" i="3" s="1"/>
  <c r="AT42" i="3"/>
  <c r="AU42" i="3" s="1"/>
  <c r="AN42" i="3"/>
  <c r="AO42" i="3" s="1"/>
  <c r="AZ41" i="3"/>
  <c r="BA41" i="3" s="1"/>
  <c r="AT41" i="3"/>
  <c r="AU41" i="3" s="1"/>
  <c r="AN41" i="3"/>
  <c r="AO41" i="3" s="1"/>
  <c r="AZ40" i="3"/>
  <c r="BA40" i="3" s="1"/>
  <c r="AT40" i="3"/>
  <c r="AU40" i="3" s="1"/>
  <c r="AN40" i="3"/>
  <c r="AO40" i="3" s="1"/>
  <c r="AZ39" i="3"/>
  <c r="BA39" i="3" s="1"/>
  <c r="AT39" i="3"/>
  <c r="AU39" i="3" s="1"/>
  <c r="AN39" i="3"/>
  <c r="AO39" i="3" s="1"/>
  <c r="AZ34" i="3"/>
  <c r="BA34" i="3" s="1"/>
  <c r="AT34" i="3"/>
  <c r="AU34" i="3" s="1"/>
  <c r="AN34" i="3"/>
  <c r="AO34" i="3" s="1"/>
  <c r="AZ33" i="3"/>
  <c r="BA33" i="3" s="1"/>
  <c r="AT33" i="3"/>
  <c r="AU33" i="3" s="1"/>
  <c r="AN33" i="3"/>
  <c r="AO33" i="3" s="1"/>
  <c r="AZ32" i="3"/>
  <c r="BA32" i="3" s="1"/>
  <c r="AT32" i="3"/>
  <c r="AU32" i="3" s="1"/>
  <c r="AN32" i="3"/>
  <c r="AO32" i="3" s="1"/>
  <c r="AZ31" i="3"/>
  <c r="BA31" i="3" s="1"/>
  <c r="AT31" i="3"/>
  <c r="AU31" i="3" s="1"/>
  <c r="AN31" i="3"/>
  <c r="AO31" i="3" s="1"/>
  <c r="AZ30" i="3"/>
  <c r="BA30" i="3" s="1"/>
  <c r="AT30" i="3"/>
  <c r="AU30" i="3" s="1"/>
  <c r="AZ29" i="3"/>
  <c r="BA29" i="3" s="1"/>
  <c r="AT29" i="3"/>
  <c r="AU29" i="3" s="1"/>
  <c r="AZ28" i="3"/>
  <c r="BA28" i="3" s="1"/>
  <c r="AT28" i="3"/>
  <c r="AU28" i="3" s="1"/>
  <c r="AZ27" i="3"/>
  <c r="BA27" i="3" s="1"/>
  <c r="AT27" i="3"/>
  <c r="AU27" i="3" s="1"/>
  <c r="AZ22" i="3"/>
  <c r="BA22" i="3" s="1"/>
  <c r="AT22" i="3"/>
  <c r="AU22" i="3" s="1"/>
  <c r="AN22" i="3"/>
  <c r="AO22" i="3" s="1"/>
  <c r="AZ21" i="3"/>
  <c r="BA21" i="3" s="1"/>
  <c r="AT21" i="3"/>
  <c r="AU21" i="3" s="1"/>
  <c r="AZ20" i="3"/>
  <c r="BA20" i="3" s="1"/>
  <c r="AT20" i="3"/>
  <c r="AU20" i="3" s="1"/>
  <c r="AZ19" i="3"/>
  <c r="BA19" i="3" s="1"/>
  <c r="AT19" i="3"/>
  <c r="AU19" i="3" s="1"/>
  <c r="AN19" i="3"/>
  <c r="AO19" i="3" s="1"/>
  <c r="AZ18" i="3"/>
  <c r="BA18" i="3" s="1"/>
  <c r="AT18" i="3"/>
  <c r="AU18" i="3" s="1"/>
  <c r="AN18" i="3"/>
  <c r="AO18" i="3" s="1"/>
  <c r="AZ17" i="3"/>
  <c r="BA17" i="3" s="1"/>
  <c r="AT17" i="3"/>
  <c r="AU17" i="3" s="1"/>
  <c r="AN17" i="3"/>
  <c r="AO17" i="3" s="1"/>
  <c r="AZ16" i="3"/>
  <c r="BA16" i="3" s="1"/>
  <c r="AT16" i="3"/>
  <c r="AU16" i="3" s="1"/>
  <c r="AZ15" i="3"/>
  <c r="BA15" i="3" s="1"/>
  <c r="AT15" i="3"/>
  <c r="AU15" i="3" s="1"/>
  <c r="AZ10" i="3"/>
  <c r="BA10" i="3" s="1"/>
  <c r="AZ9" i="3"/>
  <c r="BA9" i="3" s="1"/>
  <c r="AZ8" i="3"/>
  <c r="BA8" i="3" s="1"/>
  <c r="AZ7" i="3"/>
  <c r="BA7" i="3" s="1"/>
  <c r="AT10" i="3"/>
  <c r="AU10" i="3" s="1"/>
  <c r="AT9" i="3"/>
  <c r="AU9" i="3" s="1"/>
  <c r="AT7" i="3"/>
  <c r="AU7" i="3" s="1"/>
  <c r="AN10" i="3"/>
  <c r="AO10" i="3" s="1"/>
  <c r="AN9" i="3"/>
  <c r="AO9" i="3" s="1"/>
  <c r="AN8" i="3"/>
  <c r="AO8" i="3" s="1"/>
  <c r="AN7" i="3"/>
  <c r="AO7" i="3" s="1"/>
  <c r="AH27" i="3"/>
  <c r="AH28" i="3"/>
  <c r="AI28" i="3" s="1"/>
  <c r="AH29" i="3"/>
  <c r="AI29" i="3" s="1"/>
  <c r="AH30" i="3"/>
  <c r="AI30" i="3" s="1"/>
  <c r="AH31" i="3"/>
  <c r="AI31" i="3" s="1"/>
  <c r="AH32" i="3"/>
  <c r="AI32" i="3" s="1"/>
  <c r="AH33" i="3"/>
  <c r="AI33" i="3" s="1"/>
  <c r="AH34" i="3"/>
  <c r="AI34" i="3" s="1"/>
  <c r="AH106" i="3"/>
  <c r="AI106" i="3" s="1"/>
  <c r="AH105" i="3"/>
  <c r="AI105" i="3" s="1"/>
  <c r="AH104" i="3"/>
  <c r="AI104" i="3" s="1"/>
  <c r="AH103" i="3"/>
  <c r="AI103" i="3" s="1"/>
  <c r="AH102" i="3"/>
  <c r="AI102" i="3" s="1"/>
  <c r="AH101" i="3"/>
  <c r="AI101" i="3" s="1"/>
  <c r="AH100" i="3"/>
  <c r="AI100" i="3" s="1"/>
  <c r="AH99" i="3"/>
  <c r="AI99" i="3" s="1"/>
  <c r="AH94" i="3"/>
  <c r="AI94" i="3" s="1"/>
  <c r="AH93" i="3"/>
  <c r="AI93" i="3" s="1"/>
  <c r="AH92" i="3"/>
  <c r="AI92" i="3" s="1"/>
  <c r="AH91" i="3"/>
  <c r="AI91" i="3" s="1"/>
  <c r="AH90" i="3"/>
  <c r="AI90" i="3" s="1"/>
  <c r="AH89" i="3"/>
  <c r="AI89" i="3" s="1"/>
  <c r="AH88" i="3"/>
  <c r="AI88" i="3" s="1"/>
  <c r="AH87" i="3"/>
  <c r="AI87" i="3" s="1"/>
  <c r="AH82" i="3"/>
  <c r="AI82" i="3" s="1"/>
  <c r="AH81" i="3"/>
  <c r="AI81" i="3" s="1"/>
  <c r="AH80" i="3"/>
  <c r="AI80" i="3" s="1"/>
  <c r="AH79" i="3"/>
  <c r="AI79" i="3" s="1"/>
  <c r="AH78" i="3"/>
  <c r="AI78" i="3" s="1"/>
  <c r="AH77" i="3"/>
  <c r="AI77" i="3" s="1"/>
  <c r="AH76" i="3"/>
  <c r="AI76" i="3" s="1"/>
  <c r="AH75" i="3"/>
  <c r="AI75" i="3" s="1"/>
  <c r="AH70" i="3"/>
  <c r="AI70" i="3" s="1"/>
  <c r="AH69" i="3"/>
  <c r="AI69" i="3" s="1"/>
  <c r="AH68" i="3"/>
  <c r="AI68" i="3" s="1"/>
  <c r="AH67" i="3"/>
  <c r="AI67" i="3" s="1"/>
  <c r="AH66" i="3"/>
  <c r="AI66" i="3" s="1"/>
  <c r="AH65" i="3"/>
  <c r="AI65" i="3" s="1"/>
  <c r="AH64" i="3"/>
  <c r="AI64" i="3" s="1"/>
  <c r="AH63" i="3"/>
  <c r="AI63" i="3" s="1"/>
  <c r="AH58" i="3"/>
  <c r="AI58" i="3" s="1"/>
  <c r="AH57" i="3"/>
  <c r="AI57" i="3" s="1"/>
  <c r="AH56" i="3"/>
  <c r="AI56" i="3" s="1"/>
  <c r="AH55" i="3"/>
  <c r="AI55" i="3" s="1"/>
  <c r="AH54" i="3"/>
  <c r="AI54" i="3" s="1"/>
  <c r="AH53" i="3"/>
  <c r="AI53" i="3" s="1"/>
  <c r="AH52" i="3"/>
  <c r="AI52" i="3" s="1"/>
  <c r="AH51" i="3"/>
  <c r="AI51" i="3" s="1"/>
  <c r="AH46" i="3"/>
  <c r="AI46" i="3" s="1"/>
  <c r="AH45" i="3"/>
  <c r="AI45" i="3" s="1"/>
  <c r="AH44" i="3"/>
  <c r="AI44" i="3" s="1"/>
  <c r="AH43" i="3"/>
  <c r="AI43" i="3" s="1"/>
  <c r="AH42" i="3"/>
  <c r="AI42" i="3" s="1"/>
  <c r="AH41" i="3"/>
  <c r="AI41" i="3" s="1"/>
  <c r="AH40" i="3"/>
  <c r="AI40" i="3" s="1"/>
  <c r="AH39" i="3"/>
  <c r="AI39" i="3" s="1"/>
  <c r="AB106" i="3"/>
  <c r="AC106" i="3" s="1"/>
  <c r="AB105" i="3"/>
  <c r="AC105" i="3" s="1"/>
  <c r="AB104" i="3"/>
  <c r="AC104" i="3" s="1"/>
  <c r="AB103" i="3"/>
  <c r="AC103" i="3" s="1"/>
  <c r="AB102" i="3"/>
  <c r="AC102" i="3" s="1"/>
  <c r="AB101" i="3"/>
  <c r="AC101" i="3" s="1"/>
  <c r="AB100" i="3"/>
  <c r="AC100" i="3" s="1"/>
  <c r="AB99" i="3"/>
  <c r="AC99" i="3" s="1"/>
  <c r="AB94" i="3"/>
  <c r="AC94" i="3" s="1"/>
  <c r="AB93" i="3"/>
  <c r="AC93" i="3" s="1"/>
  <c r="AB92" i="3"/>
  <c r="AC92" i="3" s="1"/>
  <c r="AB91" i="3"/>
  <c r="AC91" i="3" s="1"/>
  <c r="AB90" i="3"/>
  <c r="AC90" i="3" s="1"/>
  <c r="AB89" i="3"/>
  <c r="AC89" i="3" s="1"/>
  <c r="AB88" i="3"/>
  <c r="AC88" i="3" s="1"/>
  <c r="AB87" i="3"/>
  <c r="AC87" i="3" s="1"/>
  <c r="AB82" i="3"/>
  <c r="AC82" i="3" s="1"/>
  <c r="AB81" i="3"/>
  <c r="AC81" i="3" s="1"/>
  <c r="AB80" i="3"/>
  <c r="AC80" i="3" s="1"/>
  <c r="AB79" i="3"/>
  <c r="AC79" i="3" s="1"/>
  <c r="AB78" i="3"/>
  <c r="AC78" i="3" s="1"/>
  <c r="AB77" i="3"/>
  <c r="AC77" i="3" s="1"/>
  <c r="AB76" i="3"/>
  <c r="AC76" i="3" s="1"/>
  <c r="AB75" i="3"/>
  <c r="AC75" i="3" s="1"/>
  <c r="AB70" i="3"/>
  <c r="AC70" i="3" s="1"/>
  <c r="AB69" i="3"/>
  <c r="AC69" i="3" s="1"/>
  <c r="AB68" i="3"/>
  <c r="AC68" i="3" s="1"/>
  <c r="AB67" i="3"/>
  <c r="AC67" i="3" s="1"/>
  <c r="AB66" i="3"/>
  <c r="AC66" i="3" s="1"/>
  <c r="AB65" i="3"/>
  <c r="AC65" i="3" s="1"/>
  <c r="AB64" i="3"/>
  <c r="AC64" i="3" s="1"/>
  <c r="AB63" i="3"/>
  <c r="AC63" i="3" s="1"/>
  <c r="AB58" i="3"/>
  <c r="AC58" i="3" s="1"/>
  <c r="AB57" i="3"/>
  <c r="AC57" i="3" s="1"/>
  <c r="AB56" i="3"/>
  <c r="AC56" i="3" s="1"/>
  <c r="AB55" i="3"/>
  <c r="AC55" i="3" s="1"/>
  <c r="AB54" i="3"/>
  <c r="AC54" i="3" s="1"/>
  <c r="AB53" i="3"/>
  <c r="AC53" i="3" s="1"/>
  <c r="AB52" i="3"/>
  <c r="AC52" i="3" s="1"/>
  <c r="AB51" i="3"/>
  <c r="AC51" i="3" s="1"/>
  <c r="AB46" i="3"/>
  <c r="AC46" i="3" s="1"/>
  <c r="AB45" i="3"/>
  <c r="AC45" i="3" s="1"/>
  <c r="AB44" i="3"/>
  <c r="AC44" i="3" s="1"/>
  <c r="AB43" i="3"/>
  <c r="AC43" i="3" s="1"/>
  <c r="AB42" i="3"/>
  <c r="AC42" i="3" s="1"/>
  <c r="AB41" i="3"/>
  <c r="AC41" i="3" s="1"/>
  <c r="AB40" i="3"/>
  <c r="AC40" i="3" s="1"/>
  <c r="AB39" i="3"/>
  <c r="AC39" i="3" s="1"/>
  <c r="AB34" i="3"/>
  <c r="AC34" i="3" s="1"/>
  <c r="AB33" i="3"/>
  <c r="AC33" i="3" s="1"/>
  <c r="AB32" i="3"/>
  <c r="AC32" i="3" s="1"/>
  <c r="AB31" i="3"/>
  <c r="AC31" i="3" s="1"/>
  <c r="AB30" i="3"/>
  <c r="AC30" i="3" s="1"/>
  <c r="AB29" i="3"/>
  <c r="AC29" i="3" s="1"/>
  <c r="AB28" i="3"/>
  <c r="AC28" i="3" s="1"/>
  <c r="AB27" i="3"/>
  <c r="AC27" i="3" s="1"/>
  <c r="AB22" i="3"/>
  <c r="AC22" i="3" s="1"/>
  <c r="AB21" i="3"/>
  <c r="AC21" i="3" s="1"/>
  <c r="AB20" i="3"/>
  <c r="AC20" i="3" s="1"/>
  <c r="AB19" i="3"/>
  <c r="AC19" i="3" s="1"/>
  <c r="AB18" i="3"/>
  <c r="AC18" i="3" s="1"/>
  <c r="AB17" i="3"/>
  <c r="AC17" i="3" s="1"/>
  <c r="AB16" i="3"/>
  <c r="AC16" i="3" s="1"/>
  <c r="AB15" i="3"/>
  <c r="AC15" i="3" s="1"/>
  <c r="V106" i="3"/>
  <c r="W106" i="3" s="1"/>
  <c r="V105" i="3"/>
  <c r="W105" i="3" s="1"/>
  <c r="V104" i="3"/>
  <c r="W104" i="3" s="1"/>
  <c r="V103" i="3"/>
  <c r="W103" i="3" s="1"/>
  <c r="V102" i="3"/>
  <c r="W102" i="3" s="1"/>
  <c r="V101" i="3"/>
  <c r="W101" i="3" s="1"/>
  <c r="V100" i="3"/>
  <c r="W100" i="3" s="1"/>
  <c r="V99" i="3"/>
  <c r="W99" i="3" s="1"/>
  <c r="V94" i="3"/>
  <c r="W94" i="3" s="1"/>
  <c r="V93" i="3"/>
  <c r="W93" i="3" s="1"/>
  <c r="V92" i="3"/>
  <c r="W92" i="3" s="1"/>
  <c r="V91" i="3"/>
  <c r="W91" i="3" s="1"/>
  <c r="V90" i="3"/>
  <c r="W90" i="3" s="1"/>
  <c r="V89" i="3"/>
  <c r="W89" i="3" s="1"/>
  <c r="V88" i="3"/>
  <c r="W88" i="3" s="1"/>
  <c r="V87" i="3"/>
  <c r="W87" i="3" s="1"/>
  <c r="V82" i="3"/>
  <c r="W82" i="3" s="1"/>
  <c r="V81" i="3"/>
  <c r="W81" i="3" s="1"/>
  <c r="V80" i="3"/>
  <c r="W80" i="3" s="1"/>
  <c r="V79" i="3"/>
  <c r="W79" i="3" s="1"/>
  <c r="V78" i="3"/>
  <c r="W78" i="3" s="1"/>
  <c r="V77" i="3"/>
  <c r="W77" i="3" s="1"/>
  <c r="V76" i="3"/>
  <c r="W76" i="3" s="1"/>
  <c r="V75" i="3"/>
  <c r="W75" i="3" s="1"/>
  <c r="V70" i="3"/>
  <c r="W70" i="3" s="1"/>
  <c r="V69" i="3"/>
  <c r="W69" i="3" s="1"/>
  <c r="V68" i="3"/>
  <c r="W68" i="3" s="1"/>
  <c r="V67" i="3"/>
  <c r="W67" i="3" s="1"/>
  <c r="V66" i="3"/>
  <c r="W66" i="3" s="1"/>
  <c r="V65" i="3"/>
  <c r="W65" i="3" s="1"/>
  <c r="V64" i="3"/>
  <c r="W64" i="3" s="1"/>
  <c r="V63" i="3"/>
  <c r="W63" i="3" s="1"/>
  <c r="P106" i="3"/>
  <c r="Q106" i="3" s="1"/>
  <c r="P105" i="3"/>
  <c r="Q105" i="3" s="1"/>
  <c r="P104" i="3"/>
  <c r="Q104" i="3" s="1"/>
  <c r="P103" i="3"/>
  <c r="Q103" i="3" s="1"/>
  <c r="P102" i="3"/>
  <c r="Q102" i="3" s="1"/>
  <c r="P101" i="3"/>
  <c r="Q101" i="3" s="1"/>
  <c r="P100" i="3"/>
  <c r="Q100" i="3" s="1"/>
  <c r="P99" i="3"/>
  <c r="Q99" i="3" s="1"/>
  <c r="J106" i="3"/>
  <c r="K106" i="3" s="1"/>
  <c r="J105" i="3"/>
  <c r="K105" i="3" s="1"/>
  <c r="J104" i="3"/>
  <c r="K104" i="3" s="1"/>
  <c r="J103" i="3"/>
  <c r="K103" i="3" s="1"/>
  <c r="J102" i="3"/>
  <c r="K102" i="3" s="1"/>
  <c r="J101" i="3"/>
  <c r="K101" i="3" s="1"/>
  <c r="J100" i="3"/>
  <c r="K100" i="3" s="1"/>
  <c r="J99" i="3"/>
  <c r="K99" i="3" s="1"/>
  <c r="P94" i="3"/>
  <c r="Q94" i="3" s="1"/>
  <c r="P93" i="3"/>
  <c r="Q93" i="3" s="1"/>
  <c r="P92" i="3"/>
  <c r="Q92" i="3" s="1"/>
  <c r="P91" i="3"/>
  <c r="Q91" i="3" s="1"/>
  <c r="P90" i="3"/>
  <c r="Q90" i="3" s="1"/>
  <c r="P89" i="3"/>
  <c r="Q89" i="3" s="1"/>
  <c r="P88" i="3"/>
  <c r="Q88" i="3" s="1"/>
  <c r="P87" i="3"/>
  <c r="Q87" i="3" s="1"/>
  <c r="J94" i="3"/>
  <c r="K94" i="3" s="1"/>
  <c r="J93" i="3"/>
  <c r="K93" i="3" s="1"/>
  <c r="J92" i="3"/>
  <c r="K92" i="3" s="1"/>
  <c r="J91" i="3"/>
  <c r="K91" i="3" s="1"/>
  <c r="J90" i="3"/>
  <c r="K90" i="3" s="1"/>
  <c r="J89" i="3"/>
  <c r="K89" i="3" s="1"/>
  <c r="J88" i="3"/>
  <c r="K88" i="3" s="1"/>
  <c r="J87" i="3"/>
  <c r="K87" i="3" s="1"/>
  <c r="P82" i="3"/>
  <c r="Q82" i="3" s="1"/>
  <c r="P81" i="3"/>
  <c r="Q81" i="3" s="1"/>
  <c r="P80" i="3"/>
  <c r="Q80" i="3" s="1"/>
  <c r="P79" i="3"/>
  <c r="Q79" i="3" s="1"/>
  <c r="P78" i="3"/>
  <c r="Q78" i="3" s="1"/>
  <c r="P77" i="3"/>
  <c r="Q77" i="3" s="1"/>
  <c r="P76" i="3"/>
  <c r="Q76" i="3" s="1"/>
  <c r="P75" i="3"/>
  <c r="Q75" i="3" s="1"/>
  <c r="J82" i="3"/>
  <c r="K82" i="3" s="1"/>
  <c r="J81" i="3"/>
  <c r="K81" i="3" s="1"/>
  <c r="J80" i="3"/>
  <c r="K80" i="3" s="1"/>
  <c r="J79" i="3"/>
  <c r="K79" i="3" s="1"/>
  <c r="J78" i="3"/>
  <c r="K78" i="3" s="1"/>
  <c r="J77" i="3"/>
  <c r="K77" i="3" s="1"/>
  <c r="J76" i="3"/>
  <c r="K76" i="3" s="1"/>
  <c r="J75" i="3"/>
  <c r="K75" i="3" s="1"/>
  <c r="P70" i="3"/>
  <c r="Q70" i="3" s="1"/>
  <c r="P69" i="3"/>
  <c r="Q69" i="3" s="1"/>
  <c r="P68" i="3"/>
  <c r="Q68" i="3" s="1"/>
  <c r="P67" i="3"/>
  <c r="Q67" i="3" s="1"/>
  <c r="P66" i="3"/>
  <c r="Q66" i="3" s="1"/>
  <c r="P65" i="3"/>
  <c r="Q65" i="3" s="1"/>
  <c r="P64" i="3"/>
  <c r="Q64" i="3" s="1"/>
  <c r="P63" i="3"/>
  <c r="Q63" i="3" s="1"/>
  <c r="J70" i="3"/>
  <c r="K70" i="3" s="1"/>
  <c r="J69" i="3"/>
  <c r="K69" i="3" s="1"/>
  <c r="J68" i="3"/>
  <c r="K68" i="3" s="1"/>
  <c r="J67" i="3"/>
  <c r="K67" i="3" s="1"/>
  <c r="J66" i="3"/>
  <c r="K66" i="3" s="1"/>
  <c r="J65" i="3"/>
  <c r="K65" i="3" s="1"/>
  <c r="J64" i="3"/>
  <c r="K64" i="3" s="1"/>
  <c r="J63" i="3"/>
  <c r="K63" i="3" s="1"/>
  <c r="V58" i="3"/>
  <c r="W58" i="3" s="1"/>
  <c r="V57" i="3"/>
  <c r="W57" i="3" s="1"/>
  <c r="V56" i="3"/>
  <c r="W56" i="3" s="1"/>
  <c r="V55" i="3"/>
  <c r="W55" i="3" s="1"/>
  <c r="V54" i="3"/>
  <c r="W54" i="3" s="1"/>
  <c r="V53" i="3"/>
  <c r="W53" i="3" s="1"/>
  <c r="V52" i="3"/>
  <c r="W52" i="3" s="1"/>
  <c r="V51" i="3"/>
  <c r="W51" i="3" s="1"/>
  <c r="V46" i="3"/>
  <c r="W46" i="3" s="1"/>
  <c r="V45" i="3"/>
  <c r="W45" i="3" s="1"/>
  <c r="V44" i="3"/>
  <c r="W44" i="3" s="1"/>
  <c r="V43" i="3"/>
  <c r="W43" i="3" s="1"/>
  <c r="V42" i="3"/>
  <c r="W42" i="3" s="1"/>
  <c r="V41" i="3"/>
  <c r="W41" i="3" s="1"/>
  <c r="V40" i="3"/>
  <c r="W40" i="3" s="1"/>
  <c r="V39" i="3"/>
  <c r="W39" i="3" s="1"/>
  <c r="V34" i="3"/>
  <c r="W34" i="3" s="1"/>
  <c r="V33" i="3"/>
  <c r="W33" i="3" s="1"/>
  <c r="V32" i="3"/>
  <c r="W32" i="3" s="1"/>
  <c r="V31" i="3"/>
  <c r="W31" i="3" s="1"/>
  <c r="V30" i="3"/>
  <c r="W30" i="3" s="1"/>
  <c r="V29" i="3"/>
  <c r="W29" i="3" s="1"/>
  <c r="V28" i="3"/>
  <c r="W28" i="3" s="1"/>
  <c r="V27" i="3"/>
  <c r="W27" i="3" s="1"/>
  <c r="V22" i="3"/>
  <c r="W22" i="3" s="1"/>
  <c r="V21" i="3"/>
  <c r="W21" i="3" s="1"/>
  <c r="V20" i="3"/>
  <c r="W20" i="3" s="1"/>
  <c r="V19" i="3"/>
  <c r="W19" i="3" s="1"/>
  <c r="V18" i="3"/>
  <c r="W18" i="3" s="1"/>
  <c r="V17" i="3"/>
  <c r="W17" i="3" s="1"/>
  <c r="V16" i="3"/>
  <c r="W16" i="3" s="1"/>
  <c r="V15" i="3"/>
  <c r="W15" i="3" s="1"/>
  <c r="P58" i="3"/>
  <c r="Q58" i="3" s="1"/>
  <c r="P57" i="3"/>
  <c r="Q57" i="3" s="1"/>
  <c r="P56" i="3"/>
  <c r="Q56" i="3" s="1"/>
  <c r="P55" i="3"/>
  <c r="Q55" i="3" s="1"/>
  <c r="P54" i="3"/>
  <c r="Q54" i="3" s="1"/>
  <c r="P53" i="3"/>
  <c r="Q53" i="3" s="1"/>
  <c r="P52" i="3"/>
  <c r="Q52" i="3" s="1"/>
  <c r="P51" i="3"/>
  <c r="Q51" i="3" s="1"/>
  <c r="P46" i="3"/>
  <c r="Q46" i="3" s="1"/>
  <c r="P45" i="3"/>
  <c r="Q45" i="3" s="1"/>
  <c r="P44" i="3"/>
  <c r="Q44" i="3" s="1"/>
  <c r="P43" i="3"/>
  <c r="Q43" i="3" s="1"/>
  <c r="P42" i="3"/>
  <c r="Q42" i="3" s="1"/>
  <c r="P41" i="3"/>
  <c r="Q41" i="3" s="1"/>
  <c r="P40" i="3"/>
  <c r="Q40" i="3" s="1"/>
  <c r="P39" i="3"/>
  <c r="Q39" i="3" s="1"/>
  <c r="J58" i="3"/>
  <c r="K58" i="3" s="1"/>
  <c r="J57" i="3"/>
  <c r="K57" i="3" s="1"/>
  <c r="J56" i="3"/>
  <c r="K56" i="3" s="1"/>
  <c r="J55" i="3"/>
  <c r="K55" i="3" s="1"/>
  <c r="J54" i="3"/>
  <c r="K54" i="3" s="1"/>
  <c r="J53" i="3"/>
  <c r="K53" i="3" s="1"/>
  <c r="J52" i="3"/>
  <c r="K52" i="3" s="1"/>
  <c r="J51" i="3"/>
  <c r="K51" i="3" s="1"/>
  <c r="J46" i="3"/>
  <c r="K46" i="3" s="1"/>
  <c r="J45" i="3"/>
  <c r="K45" i="3" s="1"/>
  <c r="J44" i="3"/>
  <c r="K44" i="3" s="1"/>
  <c r="J43" i="3"/>
  <c r="K43" i="3" s="1"/>
  <c r="J42" i="3"/>
  <c r="K42" i="3" s="1"/>
  <c r="J41" i="3"/>
  <c r="K41" i="3" s="1"/>
  <c r="J40" i="3"/>
  <c r="K40" i="3" s="1"/>
  <c r="J39" i="3"/>
  <c r="K39" i="3" s="1"/>
  <c r="P34" i="3"/>
  <c r="Q34" i="3" s="1"/>
  <c r="P33" i="3"/>
  <c r="Q33" i="3" s="1"/>
  <c r="P32" i="3"/>
  <c r="Q32" i="3" s="1"/>
  <c r="P31" i="3"/>
  <c r="Q31" i="3" s="1"/>
  <c r="P30" i="3"/>
  <c r="Q30" i="3" s="1"/>
  <c r="P29" i="3"/>
  <c r="Q29" i="3" s="1"/>
  <c r="P28" i="3"/>
  <c r="Q28" i="3" s="1"/>
  <c r="P27" i="3"/>
  <c r="Q27" i="3" s="1"/>
  <c r="P22" i="3"/>
  <c r="Q22" i="3" s="1"/>
  <c r="P21" i="3"/>
  <c r="Q21" i="3" s="1"/>
  <c r="P20" i="3"/>
  <c r="Q20" i="3" s="1"/>
  <c r="P19" i="3"/>
  <c r="Q19" i="3" s="1"/>
  <c r="P18" i="3"/>
  <c r="Q18" i="3" s="1"/>
  <c r="P17" i="3"/>
  <c r="Q17" i="3" s="1"/>
  <c r="P16" i="3"/>
  <c r="Q16" i="3" s="1"/>
  <c r="P15" i="3"/>
  <c r="Q15" i="3" s="1"/>
  <c r="L73" i="1"/>
  <c r="O73" i="1" s="1"/>
  <c r="P73" i="1" s="1"/>
  <c r="AH22" i="3"/>
  <c r="AH21" i="3"/>
  <c r="AH19" i="3"/>
  <c r="AH18" i="3"/>
  <c r="D106" i="3"/>
  <c r="D105" i="3"/>
  <c r="D103" i="3"/>
  <c r="D102" i="3"/>
  <c r="D101" i="3"/>
  <c r="D94" i="3"/>
  <c r="D93" i="3"/>
  <c r="D91" i="3"/>
  <c r="D90" i="3"/>
  <c r="D89" i="3"/>
  <c r="D82" i="3"/>
  <c r="D81" i="3"/>
  <c r="D79" i="3"/>
  <c r="D78" i="3"/>
  <c r="D77" i="3"/>
  <c r="D70" i="3"/>
  <c r="D69" i="3"/>
  <c r="D67" i="3"/>
  <c r="D66" i="3"/>
  <c r="D65" i="3"/>
  <c r="D58" i="3"/>
  <c r="D57" i="3"/>
  <c r="D55" i="3"/>
  <c r="D54" i="3"/>
  <c r="D53" i="3"/>
  <c r="D46" i="3"/>
  <c r="D45" i="3"/>
  <c r="D43" i="3"/>
  <c r="D42" i="3"/>
  <c r="D41" i="3"/>
  <c r="J34" i="3"/>
  <c r="J31" i="3"/>
  <c r="J30" i="3"/>
  <c r="J29" i="3"/>
  <c r="D34" i="3"/>
  <c r="D33" i="3"/>
  <c r="D31" i="3"/>
  <c r="D30" i="3"/>
  <c r="D29" i="3"/>
  <c r="J22" i="3"/>
  <c r="J19" i="3"/>
  <c r="J18" i="3"/>
  <c r="J17" i="3"/>
  <c r="D22" i="3"/>
  <c r="D21" i="3"/>
  <c r="D19" i="3"/>
  <c r="D18" i="3"/>
  <c r="D17" i="3"/>
  <c r="AH10" i="3"/>
  <c r="AH7" i="3"/>
  <c r="AH6" i="3"/>
  <c r="AH5" i="3"/>
  <c r="AB10" i="3"/>
  <c r="AB9" i="3"/>
  <c r="AB7" i="3"/>
  <c r="V10" i="3"/>
  <c r="P10" i="3"/>
  <c r="V7" i="3"/>
  <c r="V6" i="3"/>
  <c r="V5" i="3"/>
  <c r="P7" i="3"/>
  <c r="P6" i="3"/>
  <c r="P5" i="3"/>
  <c r="J10" i="3"/>
  <c r="J7" i="3"/>
  <c r="J6" i="3"/>
  <c r="J5" i="3"/>
  <c r="D10" i="3"/>
  <c r="D9" i="3"/>
  <c r="D7" i="3"/>
  <c r="D6" i="3"/>
  <c r="D5" i="3"/>
  <c r="AO41" i="6" l="1"/>
  <c r="M73" i="1"/>
  <c r="AZ6" i="3" s="1"/>
  <c r="BA6" i="3" s="1"/>
  <c r="AO40" i="6"/>
  <c r="AO20" i="6"/>
  <c r="AO25" i="6"/>
  <c r="AO35" i="6"/>
  <c r="AO39" i="6"/>
  <c r="AO38" i="6"/>
  <c r="AO37" i="6"/>
  <c r="AO19" i="6"/>
  <c r="AO36" i="6"/>
  <c r="AO21" i="6"/>
  <c r="AO12" i="6"/>
  <c r="AO14" i="6"/>
  <c r="AO2" i="6"/>
  <c r="AO4" i="6"/>
  <c r="AO34" i="6"/>
  <c r="AO33" i="6"/>
  <c r="AO32" i="6"/>
  <c r="BQ32" i="6" s="1"/>
  <c r="AO30" i="6"/>
  <c r="AO28" i="6"/>
  <c r="AO17" i="6"/>
  <c r="AO7" i="6"/>
  <c r="AO18" i="6"/>
  <c r="AO8" i="6"/>
  <c r="AO24" i="6"/>
  <c r="AO10" i="6"/>
  <c r="AO5" i="6"/>
  <c r="AO13" i="6"/>
  <c r="AO26" i="6"/>
  <c r="AO16" i="6"/>
  <c r="AO23" i="6"/>
  <c r="AO15" i="6"/>
  <c r="BY34" i="6"/>
  <c r="BQ34" i="6"/>
  <c r="BB34" i="6"/>
  <c r="BJ34" i="6"/>
  <c r="BT34" i="6"/>
  <c r="BG34" i="6"/>
  <c r="BS34" i="6"/>
  <c r="BH34" i="6"/>
  <c r="BM34" i="6"/>
  <c r="BW34" i="6"/>
  <c r="BV34" i="6"/>
  <c r="BC34" i="6"/>
  <c r="BP34" i="6"/>
  <c r="BD34" i="6"/>
  <c r="BX34" i="6"/>
  <c r="BO34" i="6"/>
  <c r="BE34" i="6"/>
  <c r="BN34" i="6"/>
  <c r="BK34" i="6"/>
  <c r="BL34" i="6"/>
  <c r="BU34" i="6"/>
  <c r="BF34" i="6"/>
  <c r="BI34" i="6"/>
  <c r="BR34" i="6"/>
  <c r="AO29" i="6"/>
  <c r="BP32" i="6"/>
  <c r="BO32" i="6"/>
  <c r="BF32" i="6"/>
  <c r="BV32" i="6"/>
  <c r="BY32" i="6"/>
  <c r="BS32" i="6"/>
  <c r="BH32" i="6"/>
  <c r="BR32" i="6"/>
  <c r="BT32" i="6"/>
  <c r="BD32" i="6"/>
  <c r="BI32" i="6"/>
  <c r="BG32" i="6"/>
  <c r="BC32" i="6"/>
  <c r="BW32" i="6"/>
  <c r="BM32" i="6"/>
  <c r="BL32" i="6"/>
  <c r="BB32" i="6"/>
  <c r="BK32" i="6"/>
  <c r="BJ32" i="6"/>
  <c r="BX32" i="6"/>
  <c r="BU32" i="6"/>
  <c r="BE32" i="6"/>
  <c r="BT33" i="6"/>
  <c r="BQ33" i="6"/>
  <c r="BO33" i="6"/>
  <c r="BE33" i="6"/>
  <c r="BX33" i="6"/>
  <c r="BH33" i="6"/>
  <c r="BP33" i="6"/>
  <c r="BV33" i="6"/>
  <c r="BB33" i="6"/>
  <c r="BD33" i="6"/>
  <c r="BG33" i="6"/>
  <c r="BN33" i="6"/>
  <c r="BJ33" i="6"/>
  <c r="BL33" i="6"/>
  <c r="BI33" i="6"/>
  <c r="BM33" i="6"/>
  <c r="BU33" i="6"/>
  <c r="BC33" i="6"/>
  <c r="BR33" i="6"/>
  <c r="BS33" i="6"/>
  <c r="BF33" i="6"/>
  <c r="BK33" i="6"/>
  <c r="BY33" i="6"/>
  <c r="BW33" i="6"/>
  <c r="H9" i="6"/>
  <c r="I11" i="10"/>
  <c r="I6" i="10"/>
  <c r="I9" i="6" s="1"/>
  <c r="AC72" i="3"/>
  <c r="AU108" i="3"/>
  <c r="K72" i="3"/>
  <c r="AC36" i="3"/>
  <c r="AI60" i="3"/>
  <c r="BA72" i="3"/>
  <c r="W72" i="3"/>
  <c r="AI48" i="3"/>
  <c r="AO60" i="3"/>
  <c r="AU96" i="3"/>
  <c r="AO108" i="3"/>
  <c r="Q48" i="3"/>
  <c r="Q96" i="3"/>
  <c r="W48" i="3"/>
  <c r="Q108" i="3"/>
  <c r="BA108" i="3"/>
  <c r="BA96" i="3"/>
  <c r="AO96" i="3"/>
  <c r="AO84" i="3"/>
  <c r="BA84" i="3"/>
  <c r="AU84" i="3"/>
  <c r="AO72" i="3"/>
  <c r="AU72" i="3"/>
  <c r="AU60" i="3"/>
  <c r="BA60" i="3"/>
  <c r="BA48" i="3"/>
  <c r="AO48" i="3"/>
  <c r="AU48" i="3"/>
  <c r="AU36" i="3"/>
  <c r="BA36" i="3"/>
  <c r="AU24" i="3"/>
  <c r="BA24" i="3"/>
  <c r="AI27" i="3"/>
  <c r="AI36" i="3" s="1"/>
  <c r="AI108" i="3"/>
  <c r="AI96" i="3"/>
  <c r="AI84" i="3"/>
  <c r="AI72" i="3"/>
  <c r="AC108" i="3"/>
  <c r="AC96" i="3"/>
  <c r="AC84" i="3"/>
  <c r="AC60" i="3"/>
  <c r="AC48" i="3"/>
  <c r="AC24" i="3"/>
  <c r="W108" i="3"/>
  <c r="W96" i="3"/>
  <c r="W84" i="3"/>
  <c r="K108" i="3"/>
  <c r="K96" i="3"/>
  <c r="Q84" i="3"/>
  <c r="K84" i="3"/>
  <c r="Q72" i="3"/>
  <c r="W60" i="3"/>
  <c r="W36" i="3"/>
  <c r="W24" i="3"/>
  <c r="Q60" i="3"/>
  <c r="K60" i="3"/>
  <c r="K48" i="3"/>
  <c r="Q36" i="3"/>
  <c r="Q24" i="3"/>
  <c r="O25" i="7"/>
  <c r="O28" i="7"/>
  <c r="K32" i="7"/>
  <c r="D18" i="7"/>
  <c r="C32" i="7"/>
  <c r="E32" i="7"/>
  <c r="F32" i="7"/>
  <c r="G32" i="7"/>
  <c r="H32" i="7"/>
  <c r="I32" i="7"/>
  <c r="J32" i="7"/>
  <c r="L32" i="7"/>
  <c r="M32" i="7"/>
  <c r="B32" i="7"/>
  <c r="C26" i="7"/>
  <c r="D26" i="7"/>
  <c r="E26" i="7"/>
  <c r="F26" i="7"/>
  <c r="G26" i="7"/>
  <c r="H26" i="7"/>
  <c r="I26" i="7"/>
  <c r="J26" i="7"/>
  <c r="K26" i="7"/>
  <c r="L26" i="7"/>
  <c r="M26" i="7"/>
  <c r="B26" i="7"/>
  <c r="BN32" i="6" l="1"/>
  <c r="BU29" i="6"/>
  <c r="BF29" i="6"/>
  <c r="BX29" i="6"/>
  <c r="BP29" i="6"/>
  <c r="BC29" i="6"/>
  <c r="BK29" i="6"/>
  <c r="BW29" i="6"/>
  <c r="BO29" i="6"/>
  <c r="BD29" i="6"/>
  <c r="BL29" i="6"/>
  <c r="BI29" i="6"/>
  <c r="BS29" i="6"/>
  <c r="BR29" i="6"/>
  <c r="BT29" i="6"/>
  <c r="BG29" i="6"/>
  <c r="BH29" i="6"/>
  <c r="BV29" i="6"/>
  <c r="BJ29" i="6"/>
  <c r="BB29" i="6"/>
  <c r="BM29" i="6"/>
  <c r="BQ29" i="6"/>
  <c r="BE29" i="6"/>
  <c r="BY29" i="6"/>
  <c r="BN29" i="6"/>
  <c r="J11" i="10"/>
  <c r="J6" i="10"/>
  <c r="J9" i="6" s="1"/>
  <c r="D29" i="7"/>
  <c r="C22" i="7"/>
  <c r="D22" i="7"/>
  <c r="E22" i="7"/>
  <c r="F22" i="7"/>
  <c r="G22" i="7"/>
  <c r="H22" i="7"/>
  <c r="I22" i="7"/>
  <c r="J22" i="7"/>
  <c r="K22" i="7"/>
  <c r="L22" i="7"/>
  <c r="M22" i="7"/>
  <c r="B22" i="7"/>
  <c r="C17" i="7"/>
  <c r="D17" i="7"/>
  <c r="E17" i="7"/>
  <c r="F17" i="7"/>
  <c r="G17" i="7"/>
  <c r="H17" i="7"/>
  <c r="I17" i="7"/>
  <c r="J17" i="7"/>
  <c r="K17" i="7"/>
  <c r="L17" i="7"/>
  <c r="M17" i="7"/>
  <c r="B17" i="7"/>
  <c r="O3" i="7"/>
  <c r="O4" i="7"/>
  <c r="O7" i="7"/>
  <c r="O8" i="7"/>
  <c r="O9" i="7"/>
  <c r="O10" i="7"/>
  <c r="O12" i="7"/>
  <c r="O13" i="7"/>
  <c r="O14" i="7"/>
  <c r="O15" i="7"/>
  <c r="O16" i="7"/>
  <c r="O18" i="7"/>
  <c r="O19" i="7"/>
  <c r="O20" i="7"/>
  <c r="O21" i="7"/>
  <c r="O23" i="7"/>
  <c r="O24" i="7"/>
  <c r="O27" i="7"/>
  <c r="O30" i="7"/>
  <c r="O31" i="7"/>
  <c r="O33" i="7"/>
  <c r="O2" i="7"/>
  <c r="M11" i="7"/>
  <c r="C11" i="7"/>
  <c r="D11" i="7"/>
  <c r="E11" i="7"/>
  <c r="F11" i="7"/>
  <c r="G11" i="7"/>
  <c r="H11" i="7"/>
  <c r="I11" i="7"/>
  <c r="J11" i="7"/>
  <c r="K11" i="7"/>
  <c r="L11" i="7"/>
  <c r="B11" i="7"/>
  <c r="O29" i="7" l="1"/>
  <c r="D32" i="7"/>
  <c r="K11" i="10"/>
  <c r="K6" i="10"/>
  <c r="E34" i="7"/>
  <c r="M34" i="7"/>
  <c r="O11" i="7"/>
  <c r="F34" i="7"/>
  <c r="K34" i="7"/>
  <c r="C34" i="7"/>
  <c r="H34" i="7"/>
  <c r="B34" i="7"/>
  <c r="B5" i="10" s="1"/>
  <c r="O32" i="7"/>
  <c r="G34" i="7"/>
  <c r="L34" i="7"/>
  <c r="D34" i="7"/>
  <c r="J34" i="7"/>
  <c r="O26" i="7"/>
  <c r="I34" i="7"/>
  <c r="O22" i="7"/>
  <c r="O17" i="7"/>
  <c r="AI22" i="3"/>
  <c r="AI19" i="3"/>
  <c r="AI18" i="3"/>
  <c r="AI10" i="3"/>
  <c r="AI7" i="3"/>
  <c r="AI6" i="3"/>
  <c r="AI5" i="3"/>
  <c r="AC7" i="3"/>
  <c r="AC9" i="3"/>
  <c r="AC10" i="3"/>
  <c r="W10" i="3"/>
  <c r="W7" i="3"/>
  <c r="W6" i="3"/>
  <c r="W5" i="3"/>
  <c r="Q10" i="3"/>
  <c r="Q7" i="3"/>
  <c r="Q6" i="3"/>
  <c r="Q5" i="3"/>
  <c r="E106" i="3"/>
  <c r="E105" i="3"/>
  <c r="E103" i="3"/>
  <c r="E102" i="3"/>
  <c r="E101" i="3"/>
  <c r="E94" i="3"/>
  <c r="E93" i="3"/>
  <c r="E91" i="3"/>
  <c r="E90" i="3"/>
  <c r="E89" i="3"/>
  <c r="E82" i="3"/>
  <c r="E81" i="3"/>
  <c r="E79" i="3"/>
  <c r="E78" i="3"/>
  <c r="E77" i="3"/>
  <c r="L62" i="1"/>
  <c r="L63" i="1"/>
  <c r="L64" i="1"/>
  <c r="L66" i="1"/>
  <c r="L67" i="1"/>
  <c r="L68" i="1"/>
  <c r="L69" i="1"/>
  <c r="L70" i="1"/>
  <c r="D61" i="1"/>
  <c r="D62" i="1"/>
  <c r="D63" i="1"/>
  <c r="D64" i="1"/>
  <c r="D66" i="1"/>
  <c r="D67" i="1"/>
  <c r="D68" i="1"/>
  <c r="D69" i="1"/>
  <c r="D70" i="1"/>
  <c r="D71" i="1"/>
  <c r="D72" i="1"/>
  <c r="D74" i="1"/>
  <c r="E70" i="3"/>
  <c r="E69" i="3"/>
  <c r="E67" i="3"/>
  <c r="E66" i="3"/>
  <c r="E65" i="3"/>
  <c r="E58" i="3"/>
  <c r="E57" i="3"/>
  <c r="E55" i="3"/>
  <c r="E54" i="3"/>
  <c r="E53" i="3"/>
  <c r="E46" i="3"/>
  <c r="E45" i="3"/>
  <c r="E43" i="3"/>
  <c r="E42" i="3"/>
  <c r="E41" i="3"/>
  <c r="K34" i="3"/>
  <c r="K31" i="3"/>
  <c r="K30" i="3"/>
  <c r="K29" i="3"/>
  <c r="B36" i="3"/>
  <c r="E34" i="3"/>
  <c r="E33" i="3"/>
  <c r="E31" i="3"/>
  <c r="E30" i="3"/>
  <c r="E29" i="3"/>
  <c r="K22" i="3"/>
  <c r="K19" i="3"/>
  <c r="K18" i="3"/>
  <c r="K17" i="3"/>
  <c r="K10" i="3"/>
  <c r="K7" i="3"/>
  <c r="K6" i="3"/>
  <c r="K5" i="3"/>
  <c r="E21" i="3"/>
  <c r="E22" i="3"/>
  <c r="E19" i="3"/>
  <c r="E18" i="3"/>
  <c r="E17" i="3"/>
  <c r="E10" i="3"/>
  <c r="E9" i="3"/>
  <c r="L92" i="1"/>
  <c r="L93" i="1"/>
  <c r="L94" i="1"/>
  <c r="L95" i="1"/>
  <c r="L96" i="1"/>
  <c r="L97" i="1"/>
  <c r="L98" i="1"/>
  <c r="AT8" i="3"/>
  <c r="AU8" i="3" s="1"/>
  <c r="M64" i="1" l="1"/>
  <c r="AT4" i="3" s="1"/>
  <c r="AU4" i="3" s="1"/>
  <c r="O64" i="1"/>
  <c r="P64" i="1" s="1"/>
  <c r="M63" i="1"/>
  <c r="AN30" i="3" s="1"/>
  <c r="AO30" i="3" s="1"/>
  <c r="O63" i="1"/>
  <c r="P63" i="1" s="1"/>
  <c r="M62" i="1"/>
  <c r="O62" i="1"/>
  <c r="P62" i="1" s="1"/>
  <c r="M70" i="1"/>
  <c r="AT3" i="3" s="1"/>
  <c r="AU3" i="3" s="1"/>
  <c r="O70" i="1"/>
  <c r="P70" i="1" s="1"/>
  <c r="M69" i="1"/>
  <c r="E32" i="4" s="1" a="1"/>
  <c r="E32" i="4" s="1"/>
  <c r="O69" i="1"/>
  <c r="P69" i="1" s="1"/>
  <c r="M68" i="1"/>
  <c r="O68" i="1"/>
  <c r="P68" i="1" s="1"/>
  <c r="M67" i="1"/>
  <c r="E41" i="4" s="1" a="1"/>
  <c r="E41" i="4" s="1"/>
  <c r="O67" i="1"/>
  <c r="P67" i="1" s="1"/>
  <c r="M66" i="1"/>
  <c r="AH16" i="3" s="1"/>
  <c r="O66" i="1"/>
  <c r="P66" i="1" s="1"/>
  <c r="K9" i="6"/>
  <c r="L11" i="10"/>
  <c r="L6" i="10"/>
  <c r="L9" i="6" s="1"/>
  <c r="I7" i="6"/>
  <c r="I5" i="10"/>
  <c r="J7" i="6"/>
  <c r="J5" i="10"/>
  <c r="L7" i="6"/>
  <c r="L5" i="10"/>
  <c r="H7" i="6"/>
  <c r="H5" i="10"/>
  <c r="K7" i="6"/>
  <c r="K5" i="10"/>
  <c r="D7" i="6"/>
  <c r="D5" i="10"/>
  <c r="F7" i="6"/>
  <c r="F5" i="10"/>
  <c r="G7" i="6"/>
  <c r="G5" i="10"/>
  <c r="M7" i="6"/>
  <c r="M5" i="10"/>
  <c r="E7" i="6"/>
  <c r="E5" i="10"/>
  <c r="C7" i="6"/>
  <c r="C5" i="10"/>
  <c r="AB5" i="3"/>
  <c r="AC5" i="3" s="1"/>
  <c r="D104" i="3"/>
  <c r="E104" i="3" s="1"/>
  <c r="D56" i="3"/>
  <c r="E56" i="3" s="1"/>
  <c r="D32" i="3"/>
  <c r="E32" i="3" s="1"/>
  <c r="D20" i="3"/>
  <c r="E20" i="3" s="1"/>
  <c r="AB8" i="3"/>
  <c r="AC8" i="3" s="1"/>
  <c r="D64" i="3"/>
  <c r="E64" i="3" s="1"/>
  <c r="D92" i="3"/>
  <c r="E92" i="3" s="1"/>
  <c r="D80" i="3"/>
  <c r="E80" i="3" s="1"/>
  <c r="D68" i="3"/>
  <c r="E68" i="3" s="1"/>
  <c r="D44" i="3"/>
  <c r="E44" i="3" s="1"/>
  <c r="D8" i="3"/>
  <c r="E8" i="3" s="1"/>
  <c r="AH20" i="3"/>
  <c r="B7" i="6"/>
  <c r="O34" i="7"/>
  <c r="E5" i="3"/>
  <c r="E6" i="3"/>
  <c r="E7" i="3"/>
  <c r="AN21" i="3"/>
  <c r="AO21" i="3" s="1"/>
  <c r="L58" i="1"/>
  <c r="L59" i="1"/>
  <c r="L60" i="1"/>
  <c r="L71" i="1"/>
  <c r="L72" i="1"/>
  <c r="L74" i="1"/>
  <c r="D58" i="1"/>
  <c r="D59" i="1"/>
  <c r="D60" i="1"/>
  <c r="AN20" i="3"/>
  <c r="AO20" i="3" s="1"/>
  <c r="H41" i="4" l="1"/>
  <c r="J41" i="4" s="1"/>
  <c r="AG41" i="6"/>
  <c r="AZ4" i="3"/>
  <c r="BA4" i="3" s="1"/>
  <c r="AN28" i="3"/>
  <c r="AO28" i="3" s="1"/>
  <c r="D40" i="3"/>
  <c r="E40" i="3" s="1"/>
  <c r="D100" i="3"/>
  <c r="E100" i="3" s="1"/>
  <c r="D76" i="3"/>
  <c r="E76" i="3" s="1"/>
  <c r="AH17" i="3"/>
  <c r="AI17" i="3" s="1"/>
  <c r="D52" i="3"/>
  <c r="E52" i="3" s="1"/>
  <c r="AB6" i="3"/>
  <c r="AC6" i="3" s="1"/>
  <c r="AN4" i="3"/>
  <c r="AO4" i="3" s="1"/>
  <c r="AT5" i="3"/>
  <c r="AU5" i="3" s="1"/>
  <c r="AB4" i="3"/>
  <c r="AC4" i="3" s="1"/>
  <c r="AN5" i="3"/>
  <c r="AO5" i="3" s="1"/>
  <c r="AT6" i="3"/>
  <c r="AU6" i="3" s="1"/>
  <c r="H32" i="4"/>
  <c r="J32" i="4" s="1"/>
  <c r="AG32" i="6"/>
  <c r="D88" i="3"/>
  <c r="E88" i="3" s="1"/>
  <c r="AN3" i="3"/>
  <c r="AO3" i="3" s="1"/>
  <c r="M74" i="1"/>
  <c r="AN6" i="3" s="1"/>
  <c r="AO6" i="3" s="1"/>
  <c r="O74" i="1"/>
  <c r="P74" i="1" s="1"/>
  <c r="M72" i="1"/>
  <c r="AZ3" i="3" s="1"/>
  <c r="BA3" i="3" s="1"/>
  <c r="O72" i="1"/>
  <c r="P72" i="1" s="1"/>
  <c r="M71" i="1"/>
  <c r="E37" i="4" s="1" a="1"/>
  <c r="E37" i="4" s="1"/>
  <c r="O71" i="1"/>
  <c r="P71" i="1" s="1"/>
  <c r="M60" i="1"/>
  <c r="O60" i="1"/>
  <c r="P60" i="1" s="1"/>
  <c r="M58" i="1"/>
  <c r="AB3" i="3" s="1"/>
  <c r="AC3" i="3" s="1"/>
  <c r="O58" i="1"/>
  <c r="P58" i="1" s="1"/>
  <c r="M59" i="1"/>
  <c r="P4" i="3" s="1"/>
  <c r="Q4" i="3" s="1"/>
  <c r="O59" i="1"/>
  <c r="P59" i="1" s="1"/>
  <c r="O7" i="6"/>
  <c r="M11" i="10"/>
  <c r="M6" i="10"/>
  <c r="M9" i="6" s="1"/>
  <c r="O9" i="6" s="1"/>
  <c r="AH9" i="3"/>
  <c r="AI9" i="3" s="1"/>
  <c r="P9" i="3"/>
  <c r="Q9" i="3" s="1"/>
  <c r="J33" i="3"/>
  <c r="K33" i="3" s="1"/>
  <c r="J21" i="3"/>
  <c r="K21" i="3" s="1"/>
  <c r="V9" i="3"/>
  <c r="W9" i="3" s="1"/>
  <c r="J9" i="3"/>
  <c r="K9" i="3" s="1"/>
  <c r="AH8" i="3"/>
  <c r="AI8" i="3" s="1"/>
  <c r="P8" i="3"/>
  <c r="Q8" i="3" s="1"/>
  <c r="J32" i="3"/>
  <c r="K32" i="3" s="1"/>
  <c r="J20" i="3"/>
  <c r="K20" i="3" s="1"/>
  <c r="V8" i="3"/>
  <c r="W8" i="3" s="1"/>
  <c r="J8" i="3"/>
  <c r="K8" i="3" s="1"/>
  <c r="AI21" i="3"/>
  <c r="AI20" i="3"/>
  <c r="AI16" i="3"/>
  <c r="L61" i="1"/>
  <c r="L2" i="1"/>
  <c r="O2" i="1" s="1"/>
  <c r="P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2" i="1"/>
  <c r="D54" i="1"/>
  <c r="D55" i="1"/>
  <c r="D56" i="1"/>
  <c r="D57" i="1"/>
  <c r="D2" i="1"/>
  <c r="L57" i="1"/>
  <c r="O57" i="1" s="1"/>
  <c r="P57" i="1" s="1"/>
  <c r="L56" i="1"/>
  <c r="O56" i="1" s="1"/>
  <c r="P56" i="1" s="1"/>
  <c r="L55" i="1"/>
  <c r="O55" i="1" s="1"/>
  <c r="P55" i="1" s="1"/>
  <c r="L54" i="1"/>
  <c r="L52" i="1"/>
  <c r="O52" i="1" s="1"/>
  <c r="P52" i="1" s="1"/>
  <c r="L50" i="1"/>
  <c r="O50" i="1" s="1"/>
  <c r="P50" i="1" s="1"/>
  <c r="L49" i="1"/>
  <c r="O49" i="1" s="1"/>
  <c r="P49" i="1" s="1"/>
  <c r="L48" i="1"/>
  <c r="O48" i="1" s="1"/>
  <c r="P48" i="1" s="1"/>
  <c r="L47" i="1"/>
  <c r="O47" i="1" s="1"/>
  <c r="P47" i="1" s="1"/>
  <c r="L46" i="1"/>
  <c r="O46" i="1" s="1"/>
  <c r="P46" i="1" s="1"/>
  <c r="L45" i="1"/>
  <c r="L44" i="1"/>
  <c r="L43" i="1"/>
  <c r="O43" i="1" s="1"/>
  <c r="P43" i="1" s="1"/>
  <c r="L42" i="1"/>
  <c r="O42" i="1" s="1"/>
  <c r="P42" i="1" s="1"/>
  <c r="L41" i="1"/>
  <c r="O41" i="1" s="1"/>
  <c r="P41" i="1" s="1"/>
  <c r="L40" i="1"/>
  <c r="O40" i="1" s="1"/>
  <c r="P40" i="1" s="1"/>
  <c r="L39" i="1"/>
  <c r="O39" i="1" s="1"/>
  <c r="P39" i="1" s="1"/>
  <c r="L38" i="1"/>
  <c r="O38" i="1" s="1"/>
  <c r="P38" i="1" s="1"/>
  <c r="L37" i="1"/>
  <c r="L36" i="1"/>
  <c r="L35" i="1"/>
  <c r="O35" i="1" s="1"/>
  <c r="P35" i="1" s="1"/>
  <c r="L34" i="1"/>
  <c r="O34" i="1" s="1"/>
  <c r="P34" i="1" s="1"/>
  <c r="L33" i="1"/>
  <c r="L32" i="1"/>
  <c r="O32" i="1" s="1"/>
  <c r="P32" i="1" s="1"/>
  <c r="L31" i="1"/>
  <c r="O31" i="1" s="1"/>
  <c r="P31" i="1" s="1"/>
  <c r="L30" i="1"/>
  <c r="O30" i="1" s="1"/>
  <c r="P30" i="1" s="1"/>
  <c r="L29" i="1"/>
  <c r="O29" i="1" s="1"/>
  <c r="P29" i="1" s="1"/>
  <c r="L27" i="1"/>
  <c r="L26" i="1"/>
  <c r="L25" i="1"/>
  <c r="O25" i="1" s="1"/>
  <c r="P25" i="1" s="1"/>
  <c r="L24" i="1"/>
  <c r="O24" i="1" s="1"/>
  <c r="P24" i="1" s="1"/>
  <c r="L23" i="1"/>
  <c r="O23" i="1" s="1"/>
  <c r="P23" i="1" s="1"/>
  <c r="L22" i="1"/>
  <c r="O22" i="1" s="1"/>
  <c r="P22" i="1" s="1"/>
  <c r="L21" i="1"/>
  <c r="O21" i="1" s="1"/>
  <c r="P21" i="1" s="1"/>
  <c r="L20" i="1"/>
  <c r="O20" i="1" s="1"/>
  <c r="P20" i="1" s="1"/>
  <c r="L19" i="1"/>
  <c r="L18" i="1"/>
  <c r="O18" i="1" s="1"/>
  <c r="P18" i="1" s="1"/>
  <c r="L17" i="1"/>
  <c r="O17" i="1" s="1"/>
  <c r="P17" i="1" s="1"/>
  <c r="L16" i="1"/>
  <c r="L15" i="1"/>
  <c r="O15" i="1" s="1"/>
  <c r="P15" i="1" s="1"/>
  <c r="L14" i="1"/>
  <c r="O14" i="1" s="1"/>
  <c r="P14" i="1" s="1"/>
  <c r="L13" i="1"/>
  <c r="O13" i="1" s="1"/>
  <c r="P13" i="1" s="1"/>
  <c r="L12" i="1"/>
  <c r="O12" i="1" s="1"/>
  <c r="P12" i="1" s="1"/>
  <c r="L11" i="1"/>
  <c r="O11" i="1" s="1"/>
  <c r="P11" i="1" s="1"/>
  <c r="L10" i="1"/>
  <c r="O10" i="1" s="1"/>
  <c r="P10" i="1" s="1"/>
  <c r="L9" i="1"/>
  <c r="O9" i="1" s="1"/>
  <c r="P9" i="1" s="1"/>
  <c r="L8" i="1"/>
  <c r="L7" i="1"/>
  <c r="O7" i="1" s="1"/>
  <c r="P7" i="1" s="1"/>
  <c r="L6" i="1"/>
  <c r="O6" i="1" s="1"/>
  <c r="P6" i="1" s="1"/>
  <c r="L5" i="1"/>
  <c r="M5" i="1" s="1"/>
  <c r="L4" i="1"/>
  <c r="O4" i="1" s="1"/>
  <c r="P4" i="1" s="1"/>
  <c r="L3" i="1"/>
  <c r="O3" i="1" s="1"/>
  <c r="P3" i="1" s="1"/>
  <c r="J28" i="3" l="1"/>
  <c r="K28" i="3" s="1"/>
  <c r="BO41" i="6"/>
  <c r="BX41" i="6"/>
  <c r="BN41" i="6"/>
  <c r="BS41" i="6"/>
  <c r="BV41" i="6"/>
  <c r="BY41" i="6"/>
  <c r="BW41" i="6"/>
  <c r="BU41" i="6"/>
  <c r="BR41" i="6"/>
  <c r="BT41" i="6"/>
  <c r="BQ41" i="6"/>
  <c r="BP41" i="6"/>
  <c r="K41" i="4"/>
  <c r="AF41" i="6"/>
  <c r="AZ5" i="3"/>
  <c r="BA5" i="3" s="1"/>
  <c r="BA12" i="3" s="1"/>
  <c r="AN29" i="3"/>
  <c r="AO29" i="3" s="1"/>
  <c r="E12" i="4" a="1"/>
  <c r="E12" i="4" s="1"/>
  <c r="H12" i="4" s="1"/>
  <c r="J12" i="4" s="1"/>
  <c r="K12" i="4" s="1"/>
  <c r="AC12" i="3"/>
  <c r="AO12" i="3"/>
  <c r="AU12" i="3"/>
  <c r="AH4" i="3"/>
  <c r="AI4" i="3" s="1"/>
  <c r="H37" i="4"/>
  <c r="J37" i="4" s="1"/>
  <c r="AG37" i="6"/>
  <c r="K32" i="4"/>
  <c r="AF32" i="6"/>
  <c r="J16" i="3"/>
  <c r="K16" i="3" s="1"/>
  <c r="AN16" i="3"/>
  <c r="AO16" i="3" s="1"/>
  <c r="M43" i="1"/>
  <c r="M8" i="1"/>
  <c r="E38" i="4" s="1" a="1"/>
  <c r="E38" i="4" s="1"/>
  <c r="O8" i="1"/>
  <c r="P8" i="1" s="1"/>
  <c r="M16" i="1"/>
  <c r="O16" i="1"/>
  <c r="P16" i="1" s="1"/>
  <c r="M33" i="1"/>
  <c r="E8" i="4" s="1" a="1"/>
  <c r="E8" i="4" s="1"/>
  <c r="O33" i="1"/>
  <c r="P33" i="1" s="1"/>
  <c r="M26" i="1"/>
  <c r="O26" i="1"/>
  <c r="P26" i="1" s="1"/>
  <c r="M19" i="1"/>
  <c r="O19" i="1"/>
  <c r="P19" i="1" s="1"/>
  <c r="M27" i="1"/>
  <c r="J15" i="3" s="1"/>
  <c r="K15" i="3" s="1"/>
  <c r="O27" i="1"/>
  <c r="P27" i="1" s="1"/>
  <c r="M36" i="1"/>
  <c r="O36" i="1"/>
  <c r="P36" i="1" s="1"/>
  <c r="M44" i="1"/>
  <c r="E9" i="4" s="1" a="1"/>
  <c r="E9" i="4" s="1"/>
  <c r="O44" i="1"/>
  <c r="P44" i="1" s="1"/>
  <c r="M54" i="1"/>
  <c r="E24" i="4" s="1" a="1"/>
  <c r="E24" i="4" s="1"/>
  <c r="O54" i="1"/>
  <c r="P54" i="1" s="1"/>
  <c r="J4" i="3"/>
  <c r="K4" i="3" s="1"/>
  <c r="M37" i="1"/>
  <c r="O37" i="1"/>
  <c r="P37" i="1" s="1"/>
  <c r="M45" i="1"/>
  <c r="O45" i="1"/>
  <c r="P45" i="1" s="1"/>
  <c r="M61" i="1"/>
  <c r="D28" i="3" s="1"/>
  <c r="E28" i="3" s="1"/>
  <c r="O61" i="1"/>
  <c r="P61" i="1" s="1"/>
  <c r="V4" i="3"/>
  <c r="W4" i="3" s="1"/>
  <c r="E15" i="4" a="1"/>
  <c r="E15" i="4" s="1"/>
  <c r="H15" i="4" s="1"/>
  <c r="E4" i="4" a="1"/>
  <c r="E4" i="4" s="1"/>
  <c r="H4" i="4" s="1"/>
  <c r="R4" i="10"/>
  <c r="D99" i="3"/>
  <c r="E99" i="3" s="1"/>
  <c r="E108" i="3" s="1"/>
  <c r="D87" i="3"/>
  <c r="E87" i="3" s="1"/>
  <c r="E96" i="3" s="1"/>
  <c r="D75" i="3"/>
  <c r="E75" i="3" s="1"/>
  <c r="E84" i="3" s="1"/>
  <c r="D63" i="3"/>
  <c r="E63" i="3" s="1"/>
  <c r="E72" i="3" s="1"/>
  <c r="D51" i="3"/>
  <c r="E51" i="3" s="1"/>
  <c r="E60" i="3" s="1"/>
  <c r="D39" i="3"/>
  <c r="E39" i="3" s="1"/>
  <c r="E48" i="3" s="1"/>
  <c r="M42" i="1"/>
  <c r="M35" i="1"/>
  <c r="M25" i="1"/>
  <c r="M18" i="1"/>
  <c r="E11" i="4" s="1" a="1"/>
  <c r="E11" i="4" s="1"/>
  <c r="H11" i="4" s="1"/>
  <c r="M41" i="1"/>
  <c r="M40" i="1"/>
  <c r="M52" i="1"/>
  <c r="M17" i="1"/>
  <c r="E18" i="4" s="1" a="1"/>
  <c r="E18" i="4" s="1"/>
  <c r="H18" i="4" s="1"/>
  <c r="M2" i="1"/>
  <c r="AN27" i="3" s="1"/>
  <c r="AO27" i="3" s="1"/>
  <c r="M57" i="1"/>
  <c r="M32" i="1"/>
  <c r="M15" i="1"/>
  <c r="E26" i="4" s="1" a="1"/>
  <c r="E26" i="4" s="1"/>
  <c r="H26" i="4" s="1"/>
  <c r="M50" i="1"/>
  <c r="M31" i="1"/>
  <c r="M10" i="1"/>
  <c r="M46" i="1"/>
  <c r="M9" i="1"/>
  <c r="M24" i="1"/>
  <c r="M34" i="1"/>
  <c r="M49" i="1"/>
  <c r="E13" i="4" s="1" a="1"/>
  <c r="E13" i="4" s="1"/>
  <c r="H13" i="4" s="1"/>
  <c r="M23" i="1"/>
  <c r="M7" i="1"/>
  <c r="AN15" i="3" s="1"/>
  <c r="AO15" i="3" s="1"/>
  <c r="M47" i="1"/>
  <c r="M22" i="1"/>
  <c r="E20" i="4" s="1" a="1"/>
  <c r="E20" i="4" s="1"/>
  <c r="M6" i="1"/>
  <c r="M38" i="1"/>
  <c r="M21" i="1"/>
  <c r="E16" i="4" s="1" a="1"/>
  <c r="E16" i="4" s="1"/>
  <c r="H16" i="4" s="1"/>
  <c r="M55" i="1"/>
  <c r="E34" i="4" s="1" a="1"/>
  <c r="E34" i="4" s="1"/>
  <c r="M29" i="1"/>
  <c r="M20" i="1"/>
  <c r="M12" i="1"/>
  <c r="E22" i="4" s="1" a="1"/>
  <c r="E22" i="4" s="1"/>
  <c r="H22" i="4" s="1"/>
  <c r="M4" i="1"/>
  <c r="M48" i="1"/>
  <c r="M39" i="1"/>
  <c r="M14" i="1"/>
  <c r="E17" i="4" s="1" a="1"/>
  <c r="E17" i="4" s="1"/>
  <c r="H17" i="4" s="1"/>
  <c r="M56" i="1"/>
  <c r="M30" i="1"/>
  <c r="M13" i="1"/>
  <c r="M11" i="1"/>
  <c r="M3" i="1"/>
  <c r="BH41" i="6" l="1"/>
  <c r="BJ41" i="6"/>
  <c r="BF41" i="6"/>
  <c r="BC41" i="6"/>
  <c r="BE41" i="6"/>
  <c r="BK41" i="6"/>
  <c r="BD41" i="6"/>
  <c r="BG41" i="6"/>
  <c r="BL41" i="6"/>
  <c r="BB41" i="6"/>
  <c r="BI41" i="6"/>
  <c r="BM41" i="6"/>
  <c r="AO36" i="3"/>
  <c r="AO24" i="3"/>
  <c r="AG12" i="6"/>
  <c r="BU12" i="6" s="1"/>
  <c r="AF12" i="6"/>
  <c r="E3" i="4" a="1"/>
  <c r="E3" i="4" s="1"/>
  <c r="H3" i="4" s="1"/>
  <c r="J3" i="4" s="1"/>
  <c r="H38" i="4"/>
  <c r="J38" i="4" s="1"/>
  <c r="AG38" i="6"/>
  <c r="BN12" i="6"/>
  <c r="BO12" i="6"/>
  <c r="BS12" i="6"/>
  <c r="K24" i="3"/>
  <c r="BR12" i="6"/>
  <c r="BV12" i="6"/>
  <c r="BQ12" i="6"/>
  <c r="BP12" i="6"/>
  <c r="J27" i="3"/>
  <c r="K27" i="3" s="1"/>
  <c r="K36" i="3" s="1"/>
  <c r="BW12" i="6"/>
  <c r="BT12" i="6"/>
  <c r="BX12" i="6"/>
  <c r="BR37" i="6"/>
  <c r="BX37" i="6"/>
  <c r="BU37" i="6"/>
  <c r="BT37" i="6"/>
  <c r="BV37" i="6"/>
  <c r="BN37" i="6"/>
  <c r="BO37" i="6"/>
  <c r="BP37" i="6"/>
  <c r="BW37" i="6"/>
  <c r="BS37" i="6"/>
  <c r="BQ37" i="6"/>
  <c r="BY37" i="6"/>
  <c r="BY12" i="6"/>
  <c r="K37" i="4"/>
  <c r="AF37" i="6"/>
  <c r="H34" i="4"/>
  <c r="J34" i="4" s="1"/>
  <c r="AG34" i="6"/>
  <c r="BC12" i="6"/>
  <c r="BB12" i="6"/>
  <c r="BE12" i="6"/>
  <c r="BI12" i="6"/>
  <c r="BH12" i="6"/>
  <c r="BD12" i="6"/>
  <c r="BL12" i="6"/>
  <c r="BJ12" i="6"/>
  <c r="BG12" i="6"/>
  <c r="BM12" i="6"/>
  <c r="BF12" i="6"/>
  <c r="BK12" i="6"/>
  <c r="H8" i="4"/>
  <c r="J8" i="4" s="1"/>
  <c r="AG24" i="6"/>
  <c r="BN24" i="6" s="1"/>
  <c r="H24" i="4"/>
  <c r="J24" i="4" s="1"/>
  <c r="AF24" i="6" s="1"/>
  <c r="AG9" i="6"/>
  <c r="H9" i="4"/>
  <c r="J9" i="4" s="1"/>
  <c r="K9" i="4" s="1"/>
  <c r="AG20" i="6"/>
  <c r="BP20" i="6" s="1"/>
  <c r="H20" i="4"/>
  <c r="J20" i="4" s="1"/>
  <c r="AG8" i="6"/>
  <c r="BQ8" i="6" s="1"/>
  <c r="D16" i="3"/>
  <c r="E16" i="3" s="1"/>
  <c r="D4" i="3"/>
  <c r="E4" i="3" s="1"/>
  <c r="J3" i="3"/>
  <c r="K3" i="3" s="1"/>
  <c r="K12" i="3" s="1"/>
  <c r="J26" i="4"/>
  <c r="AG26" i="6"/>
  <c r="E10" i="4" a="1"/>
  <c r="E10" i="4" s="1"/>
  <c r="H10" i="4" s="1"/>
  <c r="E23" i="4" a="1"/>
  <c r="E23" i="4" s="1"/>
  <c r="H23" i="4" s="1"/>
  <c r="J18" i="4"/>
  <c r="AG18" i="6"/>
  <c r="J22" i="4"/>
  <c r="AG22" i="6"/>
  <c r="J13" i="4"/>
  <c r="AG13" i="6"/>
  <c r="J11" i="4"/>
  <c r="AG11" i="6"/>
  <c r="J4" i="4"/>
  <c r="AG4" i="6"/>
  <c r="E19" i="4" a="1"/>
  <c r="E19" i="4" s="1"/>
  <c r="H19" i="4" s="1"/>
  <c r="E25" i="4" a="1"/>
  <c r="E25" i="4" s="1"/>
  <c r="H25" i="4" s="1"/>
  <c r="J17" i="4"/>
  <c r="AG17" i="6"/>
  <c r="J16" i="4"/>
  <c r="AG16" i="6"/>
  <c r="J15" i="4"/>
  <c r="AG15" i="6"/>
  <c r="D15" i="3"/>
  <c r="E15" i="3" s="1"/>
  <c r="D3" i="3"/>
  <c r="E3" i="3" s="1"/>
  <c r="D27" i="3"/>
  <c r="E27" i="3" s="1"/>
  <c r="E36" i="3" s="1"/>
  <c r="AH15" i="3"/>
  <c r="AI15" i="3" s="1"/>
  <c r="AI24" i="3" s="1"/>
  <c r="AH3" i="3"/>
  <c r="AI3" i="3" s="1"/>
  <c r="AI12" i="3" s="1"/>
  <c r="V3" i="3"/>
  <c r="W3" i="3" s="1"/>
  <c r="W12" i="3" s="1"/>
  <c r="P3" i="3"/>
  <c r="Q3" i="3" s="1"/>
  <c r="Q12" i="3" s="1"/>
  <c r="AG3" i="6" l="1"/>
  <c r="BX38" i="6"/>
  <c r="BV38" i="6"/>
  <c r="BY38" i="6"/>
  <c r="BS38" i="6"/>
  <c r="BU38" i="6"/>
  <c r="BQ38" i="6"/>
  <c r="BW38" i="6"/>
  <c r="BR38" i="6"/>
  <c r="BP38" i="6"/>
  <c r="BT38" i="6"/>
  <c r="BO38" i="6"/>
  <c r="BN38" i="6"/>
  <c r="K38" i="4"/>
  <c r="AF38" i="6"/>
  <c r="BK37" i="6"/>
  <c r="BB37" i="6"/>
  <c r="BJ37" i="6"/>
  <c r="BC37" i="6"/>
  <c r="BD37" i="6"/>
  <c r="BH37" i="6"/>
  <c r="BI37" i="6"/>
  <c r="BE37" i="6"/>
  <c r="BF37" i="6"/>
  <c r="BG37" i="6"/>
  <c r="BM37" i="6"/>
  <c r="BL37" i="6"/>
  <c r="K34" i="4"/>
  <c r="AF34" i="6"/>
  <c r="BT24" i="6"/>
  <c r="BQ24" i="6"/>
  <c r="BW24" i="6"/>
  <c r="BY24" i="6"/>
  <c r="BV24" i="6"/>
  <c r="BY13" i="6"/>
  <c r="BR13" i="6"/>
  <c r="BO13" i="6"/>
  <c r="BX13" i="6"/>
  <c r="BW13" i="6"/>
  <c r="BN13" i="6"/>
  <c r="BU13" i="6"/>
  <c r="BS13" i="6"/>
  <c r="BP13" i="6"/>
  <c r="BV13" i="6"/>
  <c r="BQ13" i="6"/>
  <c r="BT13" i="6"/>
  <c r="BY9" i="6"/>
  <c r="BW9" i="6"/>
  <c r="BX9" i="6"/>
  <c r="BU9" i="6"/>
  <c r="BP9" i="6"/>
  <c r="BV9" i="6"/>
  <c r="BQ9" i="6"/>
  <c r="BT9" i="6"/>
  <c r="BO9" i="6"/>
  <c r="BN9" i="6"/>
  <c r="BR9" i="6"/>
  <c r="BS9" i="6"/>
  <c r="BP24" i="6"/>
  <c r="BS24" i="6"/>
  <c r="BU24" i="6"/>
  <c r="BN20" i="6"/>
  <c r="BX24" i="6"/>
  <c r="BU20" i="6"/>
  <c r="BO20" i="6"/>
  <c r="BR24" i="6"/>
  <c r="BQ20" i="6"/>
  <c r="BS20" i="6"/>
  <c r="BT20" i="6"/>
  <c r="BO24" i="6"/>
  <c r="E12" i="3"/>
  <c r="AF8" i="6"/>
  <c r="BG8" i="6" s="1"/>
  <c r="K8" i="4"/>
  <c r="BW20" i="6"/>
  <c r="BX20" i="6"/>
  <c r="BR20" i="6"/>
  <c r="E24" i="3"/>
  <c r="BV20" i="6"/>
  <c r="BY20" i="6"/>
  <c r="BR8" i="6"/>
  <c r="BT8" i="6"/>
  <c r="BP8" i="6"/>
  <c r="BW8" i="6"/>
  <c r="AF9" i="6"/>
  <c r="K24" i="4"/>
  <c r="BN8" i="6"/>
  <c r="BX8" i="6"/>
  <c r="BY8" i="6"/>
  <c r="BV8" i="6"/>
  <c r="BU8" i="6"/>
  <c r="BO8" i="6"/>
  <c r="BS8" i="6"/>
  <c r="J25" i="4"/>
  <c r="AG25" i="6"/>
  <c r="K16" i="4"/>
  <c r="AF16" i="6"/>
  <c r="BY17" i="6"/>
  <c r="BQ17" i="6"/>
  <c r="BX17" i="6"/>
  <c r="BP17" i="6"/>
  <c r="BV17" i="6"/>
  <c r="BU17" i="6"/>
  <c r="BW17" i="6"/>
  <c r="BO17" i="6"/>
  <c r="BN17" i="6"/>
  <c r="BS17" i="6"/>
  <c r="BR17" i="6"/>
  <c r="BT17" i="6"/>
  <c r="BU18" i="6"/>
  <c r="BT18" i="6"/>
  <c r="BY18" i="6"/>
  <c r="BQ18" i="6"/>
  <c r="BS18" i="6"/>
  <c r="BR18" i="6"/>
  <c r="BW18" i="6"/>
  <c r="BO18" i="6"/>
  <c r="BV18" i="6"/>
  <c r="BN18" i="6"/>
  <c r="BX18" i="6"/>
  <c r="BP18" i="6"/>
  <c r="BR26" i="6"/>
  <c r="BY26" i="6"/>
  <c r="BQ26" i="6"/>
  <c r="BO26" i="6"/>
  <c r="BV26" i="6"/>
  <c r="BN26" i="6"/>
  <c r="BX26" i="6"/>
  <c r="BP26" i="6"/>
  <c r="BW26" i="6"/>
  <c r="BT26" i="6"/>
  <c r="BS26" i="6"/>
  <c r="BU26" i="6"/>
  <c r="K17" i="4"/>
  <c r="AF17" i="6"/>
  <c r="AF4" i="6"/>
  <c r="K4" i="4"/>
  <c r="K18" i="4"/>
  <c r="AF18" i="6"/>
  <c r="K26" i="4"/>
  <c r="AF26" i="6"/>
  <c r="BB24" i="6"/>
  <c r="BM24" i="6"/>
  <c r="BI24" i="6"/>
  <c r="BL24" i="6"/>
  <c r="BD24" i="6"/>
  <c r="BE24" i="6"/>
  <c r="BK24" i="6"/>
  <c r="BF24" i="6"/>
  <c r="BJ24" i="6"/>
  <c r="BC24" i="6"/>
  <c r="BH24" i="6"/>
  <c r="BG24" i="6"/>
  <c r="K11" i="4"/>
  <c r="AF11" i="6"/>
  <c r="BY15" i="6"/>
  <c r="BQ15" i="6"/>
  <c r="BX15" i="6"/>
  <c r="BP15" i="6"/>
  <c r="BN15" i="6"/>
  <c r="BU15" i="6"/>
  <c r="BW15" i="6"/>
  <c r="BO15" i="6"/>
  <c r="BV15" i="6"/>
  <c r="BS15" i="6"/>
  <c r="BR15" i="6"/>
  <c r="BT15" i="6"/>
  <c r="K15" i="4"/>
  <c r="AF15" i="6"/>
  <c r="K13" i="4"/>
  <c r="AF13" i="6"/>
  <c r="J19" i="4"/>
  <c r="AG19" i="6"/>
  <c r="BU16" i="6"/>
  <c r="BT16" i="6"/>
  <c r="BR16" i="6"/>
  <c r="BY16" i="6"/>
  <c r="BQ16" i="6"/>
  <c r="BS16" i="6"/>
  <c r="BW16" i="6"/>
  <c r="BO16" i="6"/>
  <c r="BV16" i="6"/>
  <c r="BN16" i="6"/>
  <c r="BP16" i="6"/>
  <c r="BX16" i="6"/>
  <c r="BS22" i="6"/>
  <c r="BR22" i="6"/>
  <c r="BT22" i="6"/>
  <c r="BN22" i="6"/>
  <c r="BO22" i="6"/>
  <c r="BV22" i="6"/>
  <c r="BW22" i="6"/>
  <c r="BQ22" i="6"/>
  <c r="BX22" i="6"/>
  <c r="BY22" i="6"/>
  <c r="BU22" i="6"/>
  <c r="BP22" i="6"/>
  <c r="J23" i="4"/>
  <c r="AG23" i="6"/>
  <c r="K20" i="4"/>
  <c r="AF20" i="6"/>
  <c r="K22" i="4"/>
  <c r="AF22" i="6"/>
  <c r="J10" i="4"/>
  <c r="AG10" i="6"/>
  <c r="K3" i="4"/>
  <c r="AF3" i="6"/>
  <c r="AC1" i="4" a="1"/>
  <c r="AC1" i="4" s="1"/>
  <c r="AB1" i="4" a="1"/>
  <c r="AB1" i="4" s="1"/>
  <c r="E43" i="4" l="1" a="1"/>
  <c r="E43" i="4" s="1"/>
  <c r="E49" i="4" a="1"/>
  <c r="E49" i="4" s="1"/>
  <c r="E44" i="4" a="1"/>
  <c r="E44" i="4" s="1"/>
  <c r="BC38" i="6"/>
  <c r="BL38" i="6"/>
  <c r="BB38" i="6"/>
  <c r="BM38" i="6"/>
  <c r="BE38" i="6"/>
  <c r="BD38" i="6"/>
  <c r="BJ38" i="6"/>
  <c r="BH38" i="6"/>
  <c r="BF38" i="6"/>
  <c r="BI38" i="6"/>
  <c r="BG38" i="6"/>
  <c r="BK38" i="6"/>
  <c r="E39" i="4" a="1"/>
  <c r="E39" i="4" s="1"/>
  <c r="H39" i="4" s="1"/>
  <c r="J39" i="4" s="1"/>
  <c r="K39" i="4" s="1"/>
  <c r="E40" i="4" a="1"/>
  <c r="E40" i="4" s="1"/>
  <c r="E35" i="4" a="1"/>
  <c r="E35" i="4" s="1"/>
  <c r="H35" i="4" s="1"/>
  <c r="J35" i="4" s="1"/>
  <c r="E36" i="4" a="1"/>
  <c r="E36" i="4" s="1"/>
  <c r="BF13" i="6"/>
  <c r="BB13" i="6"/>
  <c r="BC13" i="6"/>
  <c r="BM13" i="6"/>
  <c r="BI13" i="6"/>
  <c r="BJ13" i="6"/>
  <c r="BK13" i="6"/>
  <c r="BG13" i="6"/>
  <c r="BH13" i="6"/>
  <c r="BL13" i="6"/>
  <c r="BE13" i="6"/>
  <c r="BD13" i="6"/>
  <c r="BM9" i="6"/>
  <c r="BD9" i="6"/>
  <c r="BI9" i="6"/>
  <c r="BJ9" i="6"/>
  <c r="BC9" i="6"/>
  <c r="BB9" i="6"/>
  <c r="BH9" i="6"/>
  <c r="BL9" i="6"/>
  <c r="BE9" i="6"/>
  <c r="BF9" i="6"/>
  <c r="BG9" i="6"/>
  <c r="BK9" i="6"/>
  <c r="E2" i="4" a="1"/>
  <c r="E2" i="4" s="1"/>
  <c r="H2" i="4" s="1"/>
  <c r="J2" i="4" s="1"/>
  <c r="E30" i="4" a="1"/>
  <c r="E30" i="4" s="1"/>
  <c r="E31" i="4" a="1"/>
  <c r="E31" i="4" s="1"/>
  <c r="E21" i="4" a="1"/>
  <c r="E21" i="4" s="1"/>
  <c r="AG21" i="6" s="1"/>
  <c r="BO21" i="6" s="1"/>
  <c r="BI8" i="6"/>
  <c r="BH8" i="6"/>
  <c r="BD8" i="6"/>
  <c r="BL8" i="6"/>
  <c r="BF8" i="6"/>
  <c r="BE8" i="6"/>
  <c r="BJ8" i="6"/>
  <c r="E5" i="4" a="1"/>
  <c r="E5" i="4" s="1"/>
  <c r="H5" i="4" s="1"/>
  <c r="J5" i="4" s="1"/>
  <c r="AF5" i="6" s="1"/>
  <c r="E28" i="4" a="1"/>
  <c r="E28" i="4" s="1"/>
  <c r="H28" i="4" s="1"/>
  <c r="J28" i="4" s="1"/>
  <c r="E27" i="4" a="1"/>
  <c r="E27" i="4" s="1"/>
  <c r="H27" i="4" s="1"/>
  <c r="J27" i="4" s="1"/>
  <c r="E6" i="4" a="1"/>
  <c r="E6" i="4" s="1"/>
  <c r="H6" i="4" s="1"/>
  <c r="J6" i="4" s="1"/>
  <c r="E7" i="4" a="1"/>
  <c r="E7" i="4" s="1"/>
  <c r="AG7" i="6" s="1"/>
  <c r="E14" i="4" a="1"/>
  <c r="E14" i="4" s="1"/>
  <c r="AG14" i="6" s="1"/>
  <c r="BM8" i="6"/>
  <c r="BK8" i="6"/>
  <c r="BC8" i="6"/>
  <c r="BB8" i="6"/>
  <c r="K10" i="4"/>
  <c r="AF10" i="6"/>
  <c r="BY19" i="6"/>
  <c r="BQ19" i="6"/>
  <c r="BX19" i="6"/>
  <c r="BP19" i="6"/>
  <c r="BN19" i="6"/>
  <c r="BU19" i="6"/>
  <c r="BW19" i="6"/>
  <c r="BO19" i="6"/>
  <c r="BV19" i="6"/>
  <c r="BS19" i="6"/>
  <c r="BR19" i="6"/>
  <c r="BT19" i="6"/>
  <c r="BE22" i="6"/>
  <c r="BM22" i="6"/>
  <c r="BJ22" i="6"/>
  <c r="BB22" i="6"/>
  <c r="BI22" i="6"/>
  <c r="BF22" i="6"/>
  <c r="BH22" i="6"/>
  <c r="BD22" i="6"/>
  <c r="BC22" i="6"/>
  <c r="BL22" i="6"/>
  <c r="BK22" i="6"/>
  <c r="BG22" i="6"/>
  <c r="K19" i="4"/>
  <c r="AF19" i="6"/>
  <c r="BB18" i="6"/>
  <c r="BJ18" i="6"/>
  <c r="BC18" i="6"/>
  <c r="BK18" i="6"/>
  <c r="BM18" i="6"/>
  <c r="BF18" i="6"/>
  <c r="BD18" i="6"/>
  <c r="BL18" i="6"/>
  <c r="BE18" i="6"/>
  <c r="BH18" i="6"/>
  <c r="BI18" i="6"/>
  <c r="BG18" i="6"/>
  <c r="BB16" i="6"/>
  <c r="BJ16" i="6"/>
  <c r="BC16" i="6"/>
  <c r="BK16" i="6"/>
  <c r="BE16" i="6"/>
  <c r="BF16" i="6"/>
  <c r="BD16" i="6"/>
  <c r="BL16" i="6"/>
  <c r="BM16" i="6"/>
  <c r="BH16" i="6"/>
  <c r="BI16" i="6"/>
  <c r="BG16" i="6"/>
  <c r="BF15" i="6"/>
  <c r="BG15" i="6"/>
  <c r="BB15" i="6"/>
  <c r="BJ15" i="6"/>
  <c r="BH15" i="6"/>
  <c r="BI15" i="6"/>
  <c r="BD15" i="6"/>
  <c r="BL15" i="6"/>
  <c r="BE15" i="6"/>
  <c r="BM15" i="6"/>
  <c r="BK15" i="6"/>
  <c r="BC15" i="6"/>
  <c r="BG26" i="6"/>
  <c r="BH26" i="6"/>
  <c r="BB26" i="6"/>
  <c r="BI26" i="6"/>
  <c r="BJ26" i="6"/>
  <c r="BE26" i="6"/>
  <c r="BM26" i="6"/>
  <c r="BF26" i="6"/>
  <c r="BC26" i="6"/>
  <c r="BD26" i="6"/>
  <c r="BK26" i="6"/>
  <c r="BL26" i="6"/>
  <c r="K23" i="4"/>
  <c r="AF23" i="6"/>
  <c r="BF17" i="6"/>
  <c r="BG17" i="6"/>
  <c r="BI17" i="6"/>
  <c r="BB17" i="6"/>
  <c r="BJ17" i="6"/>
  <c r="BH17" i="6"/>
  <c r="BD17" i="6"/>
  <c r="BL17" i="6"/>
  <c r="BE17" i="6"/>
  <c r="BM17" i="6"/>
  <c r="BC17" i="6"/>
  <c r="BK17" i="6"/>
  <c r="BV25" i="6"/>
  <c r="BN25" i="6"/>
  <c r="BU25" i="6"/>
  <c r="BS25" i="6"/>
  <c r="BR25" i="6"/>
  <c r="BT25" i="6"/>
  <c r="BX25" i="6"/>
  <c r="BP25" i="6"/>
  <c r="BW25" i="6"/>
  <c r="BO25" i="6"/>
  <c r="BY25" i="6"/>
  <c r="BQ25" i="6"/>
  <c r="BG20" i="6"/>
  <c r="BH20" i="6"/>
  <c r="BC20" i="6"/>
  <c r="BF20" i="6"/>
  <c r="BM20" i="6"/>
  <c r="BE20" i="6"/>
  <c r="BD20" i="6"/>
  <c r="BI20" i="6"/>
  <c r="BJ20" i="6"/>
  <c r="BK20" i="6"/>
  <c r="BB20" i="6"/>
  <c r="BL20" i="6"/>
  <c r="BR23" i="6"/>
  <c r="BY23" i="6"/>
  <c r="BQ23" i="6"/>
  <c r="BW23" i="6"/>
  <c r="BV23" i="6"/>
  <c r="BN23" i="6"/>
  <c r="BX23" i="6"/>
  <c r="BP23" i="6"/>
  <c r="BO23" i="6"/>
  <c r="BT23" i="6"/>
  <c r="BS23" i="6"/>
  <c r="BU23" i="6"/>
  <c r="K25" i="4"/>
  <c r="AF25" i="6"/>
  <c r="H44" i="4" l="1"/>
  <c r="AG44" i="6"/>
  <c r="H49" i="4"/>
  <c r="AG49" i="6"/>
  <c r="H43" i="4"/>
  <c r="J43" i="4" s="1"/>
  <c r="AG43" i="6"/>
  <c r="AF39" i="6"/>
  <c r="BI39" i="6" s="1"/>
  <c r="AG39" i="6"/>
  <c r="BR39" i="6" s="1"/>
  <c r="H40" i="4"/>
  <c r="J40" i="4" s="1"/>
  <c r="AG40" i="6"/>
  <c r="BF39" i="6"/>
  <c r="BJ39" i="6"/>
  <c r="BG39" i="6"/>
  <c r="BE39" i="6"/>
  <c r="BH39" i="6"/>
  <c r="BB39" i="6"/>
  <c r="BL39" i="6"/>
  <c r="BM39" i="6"/>
  <c r="BC39" i="6"/>
  <c r="BK39" i="6"/>
  <c r="BD39" i="6"/>
  <c r="BU39" i="6"/>
  <c r="BO39" i="6"/>
  <c r="BQ39" i="6"/>
  <c r="BX39" i="6"/>
  <c r="BV39" i="6"/>
  <c r="BT39" i="6"/>
  <c r="BY39" i="6"/>
  <c r="BP39" i="6"/>
  <c r="AG35" i="6"/>
  <c r="BQ35" i="6" s="1"/>
  <c r="H36" i="4"/>
  <c r="J36" i="4" s="1"/>
  <c r="AG36" i="6"/>
  <c r="K35" i="4"/>
  <c r="AF35" i="6"/>
  <c r="BW14" i="6"/>
  <c r="BN14" i="6"/>
  <c r="BT14" i="6"/>
  <c r="BO14" i="6"/>
  <c r="BU14" i="6"/>
  <c r="BV14" i="6"/>
  <c r="BS14" i="6"/>
  <c r="BX14" i="6"/>
  <c r="BR14" i="6"/>
  <c r="BY14" i="6"/>
  <c r="BQ14" i="6"/>
  <c r="BP14" i="6"/>
  <c r="BH5" i="6"/>
  <c r="BD5" i="6"/>
  <c r="BM5" i="6"/>
  <c r="BJ5" i="6"/>
  <c r="BC5" i="6"/>
  <c r="BG5" i="6"/>
  <c r="BL5" i="6"/>
  <c r="BB5" i="6"/>
  <c r="BI5" i="6"/>
  <c r="BK5" i="6"/>
  <c r="BF5" i="6"/>
  <c r="BE5" i="6"/>
  <c r="AG2" i="6"/>
  <c r="H31" i="4"/>
  <c r="J31" i="4" s="1"/>
  <c r="AG31" i="6"/>
  <c r="H30" i="4"/>
  <c r="J30" i="4" s="1"/>
  <c r="AG30" i="6"/>
  <c r="H21" i="4"/>
  <c r="J21" i="4" s="1"/>
  <c r="AF21" i="6" s="1"/>
  <c r="BT21" i="6"/>
  <c r="BR21" i="6"/>
  <c r="BV21" i="6"/>
  <c r="BQ21" i="6"/>
  <c r="BS21" i="6"/>
  <c r="BP21" i="6"/>
  <c r="BW21" i="6"/>
  <c r="BQ7" i="6"/>
  <c r="BP7" i="6"/>
  <c r="BY7" i="6"/>
  <c r="BV7" i="6"/>
  <c r="H14" i="4"/>
  <c r="J14" i="4" s="1"/>
  <c r="AF14" i="6" s="1"/>
  <c r="AG28" i="6"/>
  <c r="BW28" i="6" s="1"/>
  <c r="AG5" i="6"/>
  <c r="H7" i="4"/>
  <c r="J7" i="4" s="1"/>
  <c r="AG27" i="6"/>
  <c r="BP27" i="6" s="1"/>
  <c r="AG6" i="6"/>
  <c r="BR7" i="6"/>
  <c r="BW7" i="6"/>
  <c r="BN7" i="6"/>
  <c r="BN21" i="6"/>
  <c r="BX21" i="6"/>
  <c r="BY21" i="6"/>
  <c r="BS7" i="6"/>
  <c r="BO7" i="6"/>
  <c r="BU21" i="6"/>
  <c r="BT7" i="6"/>
  <c r="K27" i="4"/>
  <c r="AF27" i="6"/>
  <c r="K28" i="4"/>
  <c r="AF28" i="6"/>
  <c r="BU7" i="6"/>
  <c r="BX7" i="6"/>
  <c r="BC25" i="6"/>
  <c r="BK25" i="6"/>
  <c r="BD25" i="6"/>
  <c r="BL25" i="6"/>
  <c r="BE25" i="6"/>
  <c r="BM25" i="6"/>
  <c r="BF25" i="6"/>
  <c r="BI25" i="6"/>
  <c r="BB25" i="6"/>
  <c r="BJ25" i="6"/>
  <c r="BH25" i="6"/>
  <c r="BG25" i="6"/>
  <c r="K2" i="4"/>
  <c r="AF2" i="6"/>
  <c r="BG23" i="6"/>
  <c r="BH23" i="6"/>
  <c r="BJ23" i="6"/>
  <c r="BI23" i="6"/>
  <c r="BB23" i="6"/>
  <c r="BE23" i="6"/>
  <c r="BM23" i="6"/>
  <c r="BF23" i="6"/>
  <c r="BC23" i="6"/>
  <c r="BK23" i="6"/>
  <c r="BD23" i="6"/>
  <c r="BL23" i="6"/>
  <c r="K6" i="4"/>
  <c r="AF6" i="6"/>
  <c r="BF19" i="6"/>
  <c r="BG19" i="6"/>
  <c r="BB19" i="6"/>
  <c r="BH19" i="6"/>
  <c r="BI19" i="6"/>
  <c r="BD19" i="6"/>
  <c r="BL19" i="6"/>
  <c r="BE19" i="6"/>
  <c r="BM19" i="6"/>
  <c r="BK19" i="6"/>
  <c r="BJ19" i="6"/>
  <c r="BC19" i="6"/>
  <c r="K5" i="4"/>
  <c r="K43" i="4" l="1"/>
  <c r="AF43" i="6"/>
  <c r="BW39" i="6"/>
  <c r="BN39" i="6"/>
  <c r="BS39" i="6"/>
  <c r="BR40" i="6"/>
  <c r="BO40" i="6"/>
  <c r="BT40" i="6"/>
  <c r="BP40" i="6"/>
  <c r="BV40" i="6"/>
  <c r="BX40" i="6"/>
  <c r="BN40" i="6"/>
  <c r="BY40" i="6"/>
  <c r="BW40" i="6"/>
  <c r="BU40" i="6"/>
  <c r="BQ40" i="6"/>
  <c r="BS40" i="6"/>
  <c r="K40" i="4"/>
  <c r="AF40" i="6"/>
  <c r="BY35" i="6"/>
  <c r="BT35" i="6"/>
  <c r="BW35" i="6"/>
  <c r="BV35" i="6"/>
  <c r="BN35" i="6"/>
  <c r="BR35" i="6"/>
  <c r="BS35" i="6"/>
  <c r="BO35" i="6"/>
  <c r="BX35" i="6"/>
  <c r="BU35" i="6"/>
  <c r="BP35" i="6"/>
  <c r="BP36" i="6"/>
  <c r="BS36" i="6"/>
  <c r="BY36" i="6"/>
  <c r="BR36" i="6"/>
  <c r="BX36" i="6"/>
  <c r="BW36" i="6"/>
  <c r="BU36" i="6"/>
  <c r="BQ36" i="6"/>
  <c r="BT36" i="6"/>
  <c r="BV36" i="6"/>
  <c r="BN36" i="6"/>
  <c r="BO36" i="6"/>
  <c r="K36" i="4"/>
  <c r="AF36" i="6"/>
  <c r="BH35" i="6"/>
  <c r="BJ35" i="6"/>
  <c r="BB35" i="6"/>
  <c r="BE35" i="6"/>
  <c r="BL35" i="6"/>
  <c r="BC35" i="6"/>
  <c r="BF35" i="6"/>
  <c r="BI35" i="6"/>
  <c r="BK35" i="6"/>
  <c r="BD35" i="6"/>
  <c r="BG35" i="6"/>
  <c r="BM35" i="6"/>
  <c r="BM14" i="6"/>
  <c r="BH14" i="6"/>
  <c r="BC14" i="6"/>
  <c r="BB14" i="6"/>
  <c r="BJ14" i="6"/>
  <c r="BI14" i="6"/>
  <c r="BG14" i="6"/>
  <c r="BL14" i="6"/>
  <c r="BK14" i="6"/>
  <c r="BE14" i="6"/>
  <c r="BD14" i="6"/>
  <c r="BF14" i="6"/>
  <c r="BS30" i="6"/>
  <c r="BR30" i="6"/>
  <c r="BV30" i="6"/>
  <c r="BQ30" i="6"/>
  <c r="BT30" i="6"/>
  <c r="BN30" i="6"/>
  <c r="BP30" i="6"/>
  <c r="BX30" i="6"/>
  <c r="BW30" i="6"/>
  <c r="BO30" i="6"/>
  <c r="BU30" i="6"/>
  <c r="BY30" i="6"/>
  <c r="BY5" i="6"/>
  <c r="BT5" i="6"/>
  <c r="BP5" i="6"/>
  <c r="BU5" i="6"/>
  <c r="BN5" i="6"/>
  <c r="BW5" i="6"/>
  <c r="BR5" i="6"/>
  <c r="BQ5" i="6"/>
  <c r="BV5" i="6"/>
  <c r="BO5" i="6"/>
  <c r="BS5" i="6"/>
  <c r="BX5" i="6"/>
  <c r="BV31" i="6"/>
  <c r="BR31" i="6"/>
  <c r="BT31" i="6"/>
  <c r="BO31" i="6"/>
  <c r="BN31" i="6"/>
  <c r="BS31" i="6"/>
  <c r="BW31" i="6"/>
  <c r="BY31" i="6"/>
  <c r="BQ31" i="6"/>
  <c r="BU31" i="6"/>
  <c r="BP31" i="6"/>
  <c r="BX31" i="6"/>
  <c r="K21" i="4"/>
  <c r="K30" i="4"/>
  <c r="AF30" i="6"/>
  <c r="K31" i="4"/>
  <c r="AF31" i="6"/>
  <c r="BN28" i="6"/>
  <c r="BV28" i="6"/>
  <c r="BT27" i="6"/>
  <c r="BY27" i="6"/>
  <c r="BN27" i="6"/>
  <c r="U2" i="4"/>
  <c r="BO28" i="6"/>
  <c r="K7" i="4"/>
  <c r="BR28" i="6"/>
  <c r="BS28" i="6"/>
  <c r="K14" i="4"/>
  <c r="BX28" i="6"/>
  <c r="BP28" i="6"/>
  <c r="AF7" i="6"/>
  <c r="BB7" i="6" s="1"/>
  <c r="BY28" i="6"/>
  <c r="BO27" i="6"/>
  <c r="BU27" i="6"/>
  <c r="BQ27" i="6"/>
  <c r="BQ28" i="6"/>
  <c r="BX27" i="6"/>
  <c r="BT28" i="6"/>
  <c r="BS27" i="6"/>
  <c r="BU28" i="6"/>
  <c r="BW27" i="6"/>
  <c r="BR27" i="6"/>
  <c r="BV27" i="6"/>
  <c r="BK28" i="6"/>
  <c r="BG28" i="6"/>
  <c r="BI28" i="6"/>
  <c r="BC28" i="6"/>
  <c r="BJ28" i="6"/>
  <c r="BD28" i="6"/>
  <c r="BM28" i="6"/>
  <c r="BF28" i="6"/>
  <c r="BE28" i="6"/>
  <c r="BB28" i="6"/>
  <c r="BL28" i="6"/>
  <c r="BH28" i="6"/>
  <c r="BG27" i="6"/>
  <c r="BJ27" i="6"/>
  <c r="BD27" i="6"/>
  <c r="BH27" i="6"/>
  <c r="BK27" i="6"/>
  <c r="BE27" i="6"/>
  <c r="BB27" i="6"/>
  <c r="BF27" i="6"/>
  <c r="BI27" i="6"/>
  <c r="BC27" i="6"/>
  <c r="BM27" i="6"/>
  <c r="BL27" i="6"/>
  <c r="BM21" i="6"/>
  <c r="BE21" i="6"/>
  <c r="BD21" i="6"/>
  <c r="BH21" i="6"/>
  <c r="BL21" i="6"/>
  <c r="BF21" i="6"/>
  <c r="BG21" i="6"/>
  <c r="BI21" i="6"/>
  <c r="BK21" i="6"/>
  <c r="BJ21" i="6"/>
  <c r="BB21" i="6"/>
  <c r="BC21" i="6"/>
  <c r="BF40" i="6" l="1"/>
  <c r="BB40" i="6"/>
  <c r="BH40" i="6"/>
  <c r="BL40" i="6"/>
  <c r="BK40" i="6"/>
  <c r="BC40" i="6"/>
  <c r="BI40" i="6"/>
  <c r="BD40" i="6"/>
  <c r="BE40" i="6"/>
  <c r="BG40" i="6"/>
  <c r="BJ40" i="6"/>
  <c r="BM40" i="6"/>
  <c r="BM36" i="6"/>
  <c r="BJ36" i="6"/>
  <c r="BD36" i="6"/>
  <c r="BH36" i="6"/>
  <c r="BC36" i="6"/>
  <c r="BL36" i="6"/>
  <c r="BB36" i="6"/>
  <c r="BF36" i="6"/>
  <c r="BK36" i="6"/>
  <c r="BG36" i="6"/>
  <c r="BE36" i="6"/>
  <c r="BI36" i="6"/>
  <c r="BB31" i="6"/>
  <c r="BF31" i="6"/>
  <c r="BD31" i="6"/>
  <c r="BK31" i="6"/>
  <c r="BG31" i="6"/>
  <c r="BH31" i="6"/>
  <c r="BE31" i="6"/>
  <c r="BJ31" i="6"/>
  <c r="BL31" i="6"/>
  <c r="BM31" i="6"/>
  <c r="BC31" i="6"/>
  <c r="BI31" i="6"/>
  <c r="J4" i="6"/>
  <c r="J4" i="10" s="1"/>
  <c r="K4" i="6"/>
  <c r="K4" i="10" s="1"/>
  <c r="D4" i="6"/>
  <c r="D4" i="10" s="1"/>
  <c r="BB30" i="6"/>
  <c r="BM30" i="6"/>
  <c r="BE30" i="6"/>
  <c r="BJ30" i="6"/>
  <c r="BH30" i="6"/>
  <c r="BK30" i="6"/>
  <c r="BI30" i="6"/>
  <c r="BL30" i="6"/>
  <c r="BG30" i="6"/>
  <c r="BD30" i="6"/>
  <c r="BC30" i="6"/>
  <c r="BF30" i="6"/>
  <c r="I4" i="6"/>
  <c r="I4" i="10" s="1"/>
  <c r="H4" i="6"/>
  <c r="H4" i="10" s="1"/>
  <c r="B4" i="6"/>
  <c r="B4" i="10" s="1"/>
  <c r="B8" i="10" s="1"/>
  <c r="B10" i="10" s="1"/>
  <c r="C2" i="10" s="1"/>
  <c r="F4" i="6"/>
  <c r="F4" i="10" s="1"/>
  <c r="G4" i="6"/>
  <c r="G4" i="10" s="1"/>
  <c r="M4" i="6"/>
  <c r="M4" i="10" s="1"/>
  <c r="U3" i="4"/>
  <c r="U4" i="4" s="1"/>
  <c r="C4" i="6"/>
  <c r="C4" i="10" s="1"/>
  <c r="L4" i="6"/>
  <c r="L4" i="10" s="1"/>
  <c r="BI7" i="6"/>
  <c r="BC7" i="6"/>
  <c r="BK7" i="6"/>
  <c r="BJ7" i="6"/>
  <c r="BG7" i="6"/>
  <c r="BL7" i="6"/>
  <c r="BE7" i="6"/>
  <c r="BM7" i="6"/>
  <c r="BF7" i="6"/>
  <c r="BD7" i="6"/>
  <c r="BH7" i="6"/>
  <c r="E4" i="6"/>
  <c r="E4" i="10" s="1"/>
  <c r="F3" i="6" l="1"/>
  <c r="G3" i="10" s="1"/>
  <c r="H3" i="6"/>
  <c r="H5" i="6" s="1"/>
  <c r="H8" i="6" s="1"/>
  <c r="H10" i="6" s="1"/>
  <c r="D3" i="6"/>
  <c r="E3" i="10" s="1"/>
  <c r="E3" i="6"/>
  <c r="E5" i="6" s="1"/>
  <c r="E8" i="6" s="1"/>
  <c r="E10" i="6" s="1"/>
  <c r="B3" i="6"/>
  <c r="C3" i="10" s="1"/>
  <c r="C8" i="10" s="1"/>
  <c r="C10" i="10" s="1"/>
  <c r="D2" i="10" s="1"/>
  <c r="G3" i="6"/>
  <c r="H3" i="10" s="1"/>
  <c r="J3" i="6"/>
  <c r="K3" i="10" s="1"/>
  <c r="K3" i="6"/>
  <c r="L3" i="10" s="1"/>
  <c r="C3" i="6"/>
  <c r="M3" i="6"/>
  <c r="M5" i="6" s="1"/>
  <c r="M8" i="6" s="1"/>
  <c r="M10" i="6" s="1"/>
  <c r="L3" i="6"/>
  <c r="M3" i="10" s="1"/>
  <c r="I3" i="6"/>
  <c r="J3" i="10" s="1"/>
  <c r="O4" i="6"/>
  <c r="F5" i="6" l="1"/>
  <c r="F8" i="6" s="1"/>
  <c r="F10" i="6" s="1"/>
  <c r="I3" i="10"/>
  <c r="D5" i="6"/>
  <c r="D8" i="6" s="1"/>
  <c r="D10" i="6" s="1"/>
  <c r="B5" i="6"/>
  <c r="B8" i="6" s="1"/>
  <c r="B10" i="6" s="1"/>
  <c r="G5" i="6"/>
  <c r="G8" i="6" s="1"/>
  <c r="G10" i="6" s="1"/>
  <c r="J5" i="6"/>
  <c r="J8" i="6" s="1"/>
  <c r="J10" i="6" s="1"/>
  <c r="F3" i="10"/>
  <c r="K5" i="6"/>
  <c r="K8" i="6" s="1"/>
  <c r="K10" i="6" s="1"/>
  <c r="I5" i="6"/>
  <c r="I8" i="6" s="1"/>
  <c r="I10" i="6" s="1"/>
  <c r="O3" i="6"/>
  <c r="L5" i="6"/>
  <c r="L8" i="6" s="1"/>
  <c r="L10" i="6" s="1"/>
  <c r="C5" i="6"/>
  <c r="C8" i="6" s="1"/>
  <c r="C10" i="6" s="1"/>
  <c r="D3" i="10"/>
  <c r="D8" i="10" s="1"/>
  <c r="D10" i="10" s="1"/>
  <c r="E2" i="10" s="1"/>
  <c r="E8" i="10" s="1"/>
  <c r="E10" i="10" s="1"/>
  <c r="F2" i="10" s="1"/>
  <c r="F8" i="10" l="1"/>
  <c r="F10" i="10" s="1"/>
  <c r="G2" i="10" s="1"/>
  <c r="G8" i="10" s="1"/>
  <c r="G10" i="10" s="1"/>
  <c r="H2" i="10" s="1"/>
  <c r="H8" i="10" s="1"/>
  <c r="H10" i="10" s="1"/>
  <c r="I2" i="10" s="1"/>
  <c r="I8" i="10" s="1"/>
  <c r="I10" i="10" s="1"/>
  <c r="J2" i="10" s="1"/>
  <c r="J8" i="10" s="1"/>
  <c r="J10" i="10" s="1"/>
  <c r="K2" i="10" s="1"/>
  <c r="K8" i="10" s="1"/>
  <c r="K10" i="10" s="1"/>
  <c r="L2" i="10" s="1"/>
  <c r="L8" i="10" s="1"/>
  <c r="L10" i="10" s="1"/>
  <c r="M2" i="10" s="1"/>
  <c r="M8" i="10" s="1"/>
  <c r="M10" i="10" s="1"/>
  <c r="O8" i="6"/>
  <c r="O12" i="6" s="1"/>
  <c r="O10" i="6"/>
  <c r="O5" i="6"/>
  <c r="P5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<sst xmlns="http://schemas.openxmlformats.org/spreadsheetml/2006/main" count="2075" uniqueCount="439">
  <si>
    <t>Customer</t>
  </si>
  <si>
    <t>Flavorchem</t>
  </si>
  <si>
    <t>Black Label</t>
  </si>
  <si>
    <t>Brimhall</t>
  </si>
  <si>
    <t>Marzetti</t>
  </si>
  <si>
    <t>NPIC</t>
  </si>
  <si>
    <t>P&amp;L Solutions</t>
  </si>
  <si>
    <t>Prime Ingredients</t>
  </si>
  <si>
    <t>Pylam</t>
  </si>
  <si>
    <t>Vendor Material</t>
  </si>
  <si>
    <t>WWI Product Code</t>
  </si>
  <si>
    <t>Price per lb</t>
  </si>
  <si>
    <t>Incoterms</t>
  </si>
  <si>
    <t>Origin</t>
  </si>
  <si>
    <t>Vendor</t>
  </si>
  <si>
    <t>HTS code</t>
  </si>
  <si>
    <t>Tariff</t>
  </si>
  <si>
    <t>Freight in per kg</t>
  </si>
  <si>
    <t>Cert. cost/kg</t>
  </si>
  <si>
    <t>Landed cost per kg</t>
  </si>
  <si>
    <t>Landed cost per lb</t>
  </si>
  <si>
    <t>Margin</t>
  </si>
  <si>
    <t>Price/kg</t>
  </si>
  <si>
    <t>Price/lb</t>
  </si>
  <si>
    <t>Strength</t>
  </si>
  <si>
    <t>Minimum</t>
  </si>
  <si>
    <t>Lead time</t>
  </si>
  <si>
    <t>Beta Carotene 1% pwd</t>
  </si>
  <si>
    <t>CIF NY</t>
  </si>
  <si>
    <t>China</t>
  </si>
  <si>
    <t>Nutracean</t>
  </si>
  <si>
    <t>3204.18.0000</t>
  </si>
  <si>
    <t>n/a</t>
  </si>
  <si>
    <t>FCA</t>
  </si>
  <si>
    <t>Slovenia</t>
  </si>
  <si>
    <t>Plantcol Annatto B4-SF</t>
  </si>
  <si>
    <t>Annatto Extract P2404</t>
  </si>
  <si>
    <t>EXW Cork?</t>
  </si>
  <si>
    <t>Ireland</t>
  </si>
  <si>
    <t>Cybercolors</t>
  </si>
  <si>
    <t>3203.00.1000</t>
  </si>
  <si>
    <t>EXW Cork</t>
  </si>
  <si>
    <t>Annatto suspension B8-SF</t>
  </si>
  <si>
    <t>EXW Brazil</t>
  </si>
  <si>
    <t>Brazil</t>
  </si>
  <si>
    <t>26.50 landed washmo</t>
  </si>
  <si>
    <t>8 weeks</t>
  </si>
  <si>
    <t>Freight estimate given by vendor for 1 x 980kg IBC or 4 x 200kg drum into chicago</t>
  </si>
  <si>
    <t>Chlorophyll AS1</t>
  </si>
  <si>
    <t>CIF Chicago</t>
  </si>
  <si>
    <t>3203.00.8000</t>
  </si>
  <si>
    <t>Carmine WSP1</t>
  </si>
  <si>
    <t>Peru</t>
  </si>
  <si>
    <t>Carmine WS4</t>
  </si>
  <si>
    <t>3205.00.0500</t>
  </si>
  <si>
    <t>Annatto powder 15%</t>
  </si>
  <si>
    <t>CIP Chicago</t>
  </si>
  <si>
    <t>Imbarex</t>
  </si>
  <si>
    <t>EXW Lima</t>
  </si>
  <si>
    <t>IFF</t>
  </si>
  <si>
    <t>FD&amp;C Yellow 5 powder</t>
  </si>
  <si>
    <t>India</t>
  </si>
  <si>
    <t>Vidhi</t>
  </si>
  <si>
    <t>3204.12.5020</t>
  </si>
  <si>
    <t>FD&amp;C Yellow 6 powder</t>
  </si>
  <si>
    <t>FD&amp;C Blue 1 powder</t>
  </si>
  <si>
    <t>3204.12.5090</t>
  </si>
  <si>
    <t>FD%C Red 40 granular</t>
  </si>
  <si>
    <t>3204.12.5010</t>
  </si>
  <si>
    <t>FD&amp;C Red 3 powder</t>
  </si>
  <si>
    <t>3204.16.10</t>
  </si>
  <si>
    <t>FD&amp;C Red 40 HD Lake</t>
  </si>
  <si>
    <t>3205.00.5020</t>
  </si>
  <si>
    <t>FCA Glendale Heights, IL</t>
  </si>
  <si>
    <t>Vivify</t>
  </si>
  <si>
    <t>Amaranth</t>
  </si>
  <si>
    <t>??</t>
  </si>
  <si>
    <t>Spirulina Extract E18</t>
  </si>
  <si>
    <t>FOB Qingdao</t>
  </si>
  <si>
    <t>Qingdao</t>
  </si>
  <si>
    <t>200-300</t>
  </si>
  <si>
    <t>Radish</t>
  </si>
  <si>
    <t>800CV</t>
  </si>
  <si>
    <t>PSP</t>
  </si>
  <si>
    <t>Purple Sweet Potato</t>
  </si>
  <si>
    <t>Beet powder 2.1%</t>
  </si>
  <si>
    <t>Beet powder .8%</t>
  </si>
  <si>
    <t>FCA Long Beach</t>
  </si>
  <si>
    <t>Beet powder .7%</t>
  </si>
  <si>
    <t>FOB Clyman, WI</t>
  </si>
  <si>
    <t>US</t>
  </si>
  <si>
    <t>Seneca</t>
  </si>
  <si>
    <t>Beet powder .5%</t>
  </si>
  <si>
    <t>VeryOx 5% liquid</t>
  </si>
  <si>
    <t>EXW Casablanca</t>
  </si>
  <si>
    <t>Morocco</t>
  </si>
  <si>
    <t>PhytoProd</t>
  </si>
  <si>
    <t>1302.19.9140</t>
  </si>
  <si>
    <t>Phytoprod raised prices 8% on 4/14 due to currency exchange rates</t>
  </si>
  <si>
    <t>VeryOx 5% powder</t>
  </si>
  <si>
    <t>Carnosox 10% liquid</t>
  </si>
  <si>
    <t>Carnosox 10% powder</t>
  </si>
  <si>
    <t>Carnosox PP (High vol price)</t>
  </si>
  <si>
    <t>Carnosox PP</t>
  </si>
  <si>
    <t>Can go to 14.87/kg for large volume</t>
  </si>
  <si>
    <t>Carnosic 5% liquid</t>
  </si>
  <si>
    <t>Carnosic 15% pwd</t>
  </si>
  <si>
    <t>Carnosic 10% liquid</t>
  </si>
  <si>
    <t>Carnosic 20% pwd</t>
  </si>
  <si>
    <t>NaCu Chlorophyll 98%</t>
  </si>
  <si>
    <t>FOB China</t>
  </si>
  <si>
    <t>Titanium Dioxide</t>
  </si>
  <si>
    <t>CIF St. Louis</t>
  </si>
  <si>
    <t>Fungal Beta Carotene 30% suspension</t>
  </si>
  <si>
    <t>NI Beta Carotene 30% suspension</t>
  </si>
  <si>
    <t>Beta Carotene 22% LF</t>
  </si>
  <si>
    <t>CIF Long Beach</t>
  </si>
  <si>
    <t>FOB NJ</t>
  </si>
  <si>
    <t>Turmeric liquid 8.5%</t>
  </si>
  <si>
    <t>BS-180 (Class 1 caramel liquid)</t>
  </si>
  <si>
    <t>Alvin</t>
  </si>
  <si>
    <t>1702.90.9000</t>
  </si>
  <si>
    <t>BS-2 (Class 1 caramel)</t>
  </si>
  <si>
    <t>Sethness list $1.57-$1.67/lb</t>
  </si>
  <si>
    <t>Caramel liquid E150d (Class 4 liquid)</t>
  </si>
  <si>
    <t>Sethness list $1.09/lb in drums</t>
  </si>
  <si>
    <t>Curcumin 8.5% WS Liquid</t>
  </si>
  <si>
    <t xml:space="preserve">EXW Kerala </t>
  </si>
  <si>
    <t>Maak Naturals</t>
  </si>
  <si>
    <t>Curcumin 95%</t>
  </si>
  <si>
    <t>Curcumin 8.5% WD Powder</t>
  </si>
  <si>
    <t>Grape Skin ext 12, Art. No. DEP000130</t>
  </si>
  <si>
    <t>EXW Mahlberg</t>
  </si>
  <si>
    <t>Germany</t>
  </si>
  <si>
    <t>AroMoss</t>
  </si>
  <si>
    <t>SPP000163</t>
  </si>
  <si>
    <t>Packaging</t>
  </si>
  <si>
    <t>Annatto Extract P2401</t>
  </si>
  <si>
    <t>Composition</t>
  </si>
  <si>
    <t>Formula Cost</t>
  </si>
  <si>
    <t>R1</t>
  </si>
  <si>
    <t>R2</t>
  </si>
  <si>
    <t>R3</t>
  </si>
  <si>
    <t>R4</t>
  </si>
  <si>
    <t>R5</t>
  </si>
  <si>
    <t>P1</t>
  </si>
  <si>
    <t>P2</t>
  </si>
  <si>
    <t>P3</t>
  </si>
  <si>
    <t>Labor</t>
  </si>
  <si>
    <t>Freight is $.85/kg to Chicago</t>
  </si>
  <si>
    <t>Annatto Ext SSH03</t>
  </si>
  <si>
    <t>Butterfly pea</t>
  </si>
  <si>
    <t>300CV</t>
  </si>
  <si>
    <t>Milled beet*****</t>
  </si>
  <si>
    <t>Radish (Hiche)</t>
  </si>
  <si>
    <t>Purple Sweet Potato (Hiche)</t>
  </si>
  <si>
    <t>Butterfly Pea</t>
  </si>
  <si>
    <t>Beet Powder 0.8% (Nutracean)</t>
  </si>
  <si>
    <t>Beet Powder 2.1% (Nutracean)</t>
  </si>
  <si>
    <t>Natural Yellow G2422 (Nutracean)</t>
  </si>
  <si>
    <t>FD&amp;C Blue 1 Powder (Vivify)</t>
  </si>
  <si>
    <t>FD&amp;C Yellow 5 Powder (Vivify)</t>
  </si>
  <si>
    <t>FD&amp;C Red 40 HD Lake (Vidhi)</t>
  </si>
  <si>
    <t>FD&amp;C Red 3 Powder (Vidhi)</t>
  </si>
  <si>
    <t>FD&amp;C Red 40 Granular (Vidhi)</t>
  </si>
  <si>
    <t>FD&amp;C Blue 1 Powder (Vidhi)</t>
  </si>
  <si>
    <t>FD&amp;C Yellow 6 Powder (Vidhi)</t>
  </si>
  <si>
    <t>Annatto Extract P1315 (IFF)</t>
  </si>
  <si>
    <t>Annatto Extract P1315 (Imbarex)</t>
  </si>
  <si>
    <t>12x12x16 box</t>
  </si>
  <si>
    <t>15x15x15 box</t>
  </si>
  <si>
    <t>16x12x10 box</t>
  </si>
  <si>
    <t>30 Gal Fiber Drums</t>
  </si>
  <si>
    <t>Uline</t>
  </si>
  <si>
    <t>USA</t>
  </si>
  <si>
    <t>FOB Wisconsin</t>
  </si>
  <si>
    <t>Maltodextrin M-100 IP</t>
  </si>
  <si>
    <t>DAP</t>
  </si>
  <si>
    <t>Brenntag</t>
  </si>
  <si>
    <t>Fine Flour Salt</t>
  </si>
  <si>
    <t>Blue USFDA Poly Bag 32x32x.004</t>
  </si>
  <si>
    <t>Blue USFDA Poly Bag 34x40x.004</t>
  </si>
  <si>
    <t>TriCor</t>
  </si>
  <si>
    <t>Sun Flower Oil</t>
  </si>
  <si>
    <t>5 Gallon Pails</t>
  </si>
  <si>
    <t>Cost/lb</t>
  </si>
  <si>
    <t>1 Gallon Jug &amp; Box Combo</t>
  </si>
  <si>
    <t>CL Smith</t>
  </si>
  <si>
    <t>Annatto</t>
  </si>
  <si>
    <t>Beet</t>
  </si>
  <si>
    <t>Natural Red D1303</t>
  </si>
  <si>
    <t>Mystery Box for Beet</t>
  </si>
  <si>
    <t>Natural Red D1307</t>
  </si>
  <si>
    <t>Natural Red D1305</t>
  </si>
  <si>
    <t>Annatto Extract P1411</t>
  </si>
  <si>
    <t>Annatto Extract P1428</t>
  </si>
  <si>
    <t>Annatto Extract P1414</t>
  </si>
  <si>
    <t>Annatto Extract WS5</t>
  </si>
  <si>
    <t>DI Water</t>
  </si>
  <si>
    <t>Natural BP N1399</t>
  </si>
  <si>
    <t>Natural Red A1320</t>
  </si>
  <si>
    <t>Natural Red E1430</t>
  </si>
  <si>
    <t>Red Radish EV50</t>
  </si>
  <si>
    <t>Red Radish EV50 (Nutracean)</t>
  </si>
  <si>
    <t>Citric Acid</t>
  </si>
  <si>
    <t>Propelyene Glycol</t>
  </si>
  <si>
    <t>Citric Acid*</t>
  </si>
  <si>
    <t>Propelyene Glycol*</t>
  </si>
  <si>
    <t>Sun Flower Oil*</t>
  </si>
  <si>
    <t>Spirulina</t>
  </si>
  <si>
    <t>Natural Blue L1355</t>
  </si>
  <si>
    <t>Natural Blue L1405</t>
  </si>
  <si>
    <t>Glycerin</t>
  </si>
  <si>
    <t>Glycerin*</t>
  </si>
  <si>
    <t>Mystery Box for Beet*</t>
  </si>
  <si>
    <t xml:space="preserve">Black Label </t>
  </si>
  <si>
    <t>Product</t>
  </si>
  <si>
    <t>Price</t>
  </si>
  <si>
    <t>Agreement</t>
  </si>
  <si>
    <t>Quoted</t>
  </si>
  <si>
    <t>Accepted</t>
  </si>
  <si>
    <t>Declined</t>
  </si>
  <si>
    <t>Notes</t>
  </si>
  <si>
    <t>Volume</t>
  </si>
  <si>
    <t>Annual Revenue</t>
  </si>
  <si>
    <t>1st Order Ship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</si>
  <si>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</si>
  <si>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</si>
  <si>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</si>
  <si>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</si>
  <si>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</si>
  <si>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</si>
  <si>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</si>
  <si>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</si>
  <si>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</si>
  <si>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</si>
  <si>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</si>
  <si>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</si>
  <si>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Order Pattern</t>
  </si>
  <si>
    <t>Every Month</t>
  </si>
  <si>
    <t>Every Other Month</t>
  </si>
  <si>
    <t>Quarterly</t>
  </si>
  <si>
    <t>Semi-Annual</t>
  </si>
  <si>
    <t>Annually</t>
  </si>
  <si>
    <t>Every 6 Weeks</t>
  </si>
  <si>
    <t>Date Updated</t>
  </si>
  <si>
    <t>Revenue</t>
  </si>
  <si>
    <t>COGS</t>
  </si>
  <si>
    <t>Gross Profit</t>
  </si>
  <si>
    <t>Annual</t>
  </si>
  <si>
    <t>Op-Ex</t>
  </si>
  <si>
    <t>EBITDA</t>
  </si>
  <si>
    <t>Interest Paid</t>
  </si>
  <si>
    <t>Net Income</t>
  </si>
  <si>
    <t>Greg</t>
  </si>
  <si>
    <t>Ben</t>
  </si>
  <si>
    <t>Gary</t>
  </si>
  <si>
    <t>6000 - Salaries</t>
  </si>
  <si>
    <t>Rent</t>
  </si>
  <si>
    <t>Phone Bill</t>
  </si>
  <si>
    <t>Internet</t>
  </si>
  <si>
    <t>Trash</t>
  </si>
  <si>
    <t>6100 - Rent &amp; Utilities</t>
  </si>
  <si>
    <t>6200 - Office Supplies</t>
  </si>
  <si>
    <t>6300 - Professional Fees</t>
  </si>
  <si>
    <t>6400 - Travel Costs</t>
  </si>
  <si>
    <t>Freight to Customers</t>
  </si>
  <si>
    <t>Freight (Samples)</t>
  </si>
  <si>
    <t>6500 - Shipping (Outbound)</t>
  </si>
  <si>
    <t>6600 - Financing Fees</t>
  </si>
  <si>
    <t>Chat GPT</t>
  </si>
  <si>
    <t>Go Daddy</t>
  </si>
  <si>
    <t>Quickbooks</t>
  </si>
  <si>
    <t>6700 - Software &amp; Subscriptions</t>
  </si>
  <si>
    <t>Outsourced Marketing</t>
  </si>
  <si>
    <t>Trade Shows</t>
  </si>
  <si>
    <t>6800 - Marketing &amp; Promotion</t>
  </si>
  <si>
    <t>7000 - Insurance</t>
  </si>
  <si>
    <t>BRC</t>
  </si>
  <si>
    <t>Kosher</t>
  </si>
  <si>
    <t>Halal</t>
  </si>
  <si>
    <t>7100 - Quality &amp; Compliance</t>
  </si>
  <si>
    <t>Total</t>
  </si>
  <si>
    <t>Misc</t>
  </si>
  <si>
    <t>Product Testing &amp; Lab Fees</t>
  </si>
  <si>
    <t>Close Probability</t>
  </si>
  <si>
    <t>Scenario</t>
  </si>
  <si>
    <t>Beginning Cash</t>
  </si>
  <si>
    <t>Receivables Collected (+)</t>
  </si>
  <si>
    <t>COGS (-)</t>
  </si>
  <si>
    <t>Op-Ex (-)</t>
  </si>
  <si>
    <t>Interest Paid (-)</t>
  </si>
  <si>
    <t>Pre-Debt Net Cash Flow</t>
  </si>
  <si>
    <t>LOC Draw (+) / Repay (-)</t>
  </si>
  <si>
    <t>Ending Cash</t>
  </si>
  <si>
    <t>LOC Ending Balance</t>
  </si>
  <si>
    <t>Line of Credit Rate</t>
  </si>
  <si>
    <t>2025 LOC Starting Balance</t>
  </si>
  <si>
    <t>Prime +50bps</t>
  </si>
  <si>
    <t>Cost</t>
  </si>
  <si>
    <t>Natural Yellow G1301 (Nutracean China)</t>
  </si>
  <si>
    <t>Natural Yellow G1301 (Nutracean Slovenia)</t>
  </si>
  <si>
    <t>Annatto Extract P2404 (Cyber Colors)</t>
  </si>
  <si>
    <t>Annatto Extract WS5 (Cyber Colors)</t>
  </si>
  <si>
    <t>Annatto Extract P2408 (Cyber Colors)</t>
  </si>
  <si>
    <t>Not Assigned</t>
  </si>
  <si>
    <t>Natural Green J1410 (Cyber Colors)</t>
  </si>
  <si>
    <t>Natural Red Q2350 (Cyber Colors)</t>
  </si>
  <si>
    <t>Natural Red Q1304 (Cyber Colors)</t>
  </si>
  <si>
    <t>FD&amp;C Yellow 5 Powder (Vidhi)</t>
  </si>
  <si>
    <t>Amaranth (Vidhi)</t>
  </si>
  <si>
    <t>Natural Blue L1300 (Hiche)</t>
  </si>
  <si>
    <t>Butterfly Pea (Hiche)</t>
  </si>
  <si>
    <t>Natural Red D1307 (Seneca)</t>
  </si>
  <si>
    <t>Natural Red D1305 (Seneca)</t>
  </si>
  <si>
    <t>NaCu Chlorophyll 98% (Nutracean)</t>
  </si>
  <si>
    <t>Titanium Dioxide (Hiche)</t>
  </si>
  <si>
    <t>Natural Yellow G2422 (Black Label)</t>
  </si>
  <si>
    <t>Caramel Color R1410 (Alvin)</t>
  </si>
  <si>
    <t>Natural Yellow H1385 (Maak)</t>
  </si>
  <si>
    <t>Natural Yellow H2395 (Maak)</t>
  </si>
  <si>
    <t>Natural Yellow H1485 (Maak)</t>
  </si>
  <si>
    <t>Natural Red O1312 (AroMoss)</t>
  </si>
  <si>
    <t>Natural Orange F1333 (AroMoss)</t>
  </si>
  <si>
    <t>Maltodextrin M-100 IP (Brenntag)</t>
  </si>
  <si>
    <t>Fine Flour Salt (Brenntag)</t>
  </si>
  <si>
    <t>Annatto Extract P2401 (8)</t>
  </si>
  <si>
    <t>Annatto Extract P2401 (40)</t>
  </si>
  <si>
    <t>Annatto Extract P1411 (8)</t>
  </si>
  <si>
    <t>Annatto Extract P1411 (44)</t>
  </si>
  <si>
    <t>Annatto Extract P1414 (8)</t>
  </si>
  <si>
    <t>Annatto Extract P1414 (44)</t>
  </si>
  <si>
    <t>Annatto Extract P1428 (8)</t>
  </si>
  <si>
    <t>Distributed or Manufactured?</t>
  </si>
  <si>
    <t>Distributed</t>
  </si>
  <si>
    <t>Manufactured</t>
  </si>
  <si>
    <t>Annatto Extract P1428 (44)</t>
  </si>
  <si>
    <t>Natural Red D1303 (40)</t>
  </si>
  <si>
    <t>Natural Red D1305 (40)</t>
  </si>
  <si>
    <t>Natural Red D1307 (40)</t>
  </si>
  <si>
    <t>Natural BP N1399 (11)</t>
  </si>
  <si>
    <t>Natural Red A1320 (44)</t>
  </si>
  <si>
    <t>Natural Red E1430 (44)</t>
  </si>
  <si>
    <t>Natural Blue L1355 (11)</t>
  </si>
  <si>
    <t>Natural Blue L1405 (44)</t>
  </si>
  <si>
    <t>Revenue Total</t>
  </si>
  <si>
    <t>GP %</t>
  </si>
  <si>
    <t>% of Volume to hit 2026</t>
  </si>
  <si>
    <t>DSC</t>
  </si>
  <si>
    <t>Prob</t>
  </si>
  <si>
    <t>Rev</t>
  </si>
  <si>
    <t>Vol</t>
  </si>
  <si>
    <t>Share2026</t>
  </si>
  <si>
    <t>ShipText</t>
  </si>
  <si>
    <t>Pattern</t>
  </si>
  <si>
    <t>StartMonth</t>
  </si>
  <si>
    <t>PerMonths</t>
  </si>
  <si>
    <t>IsSixWeeks</t>
  </si>
  <si>
    <t>Occur2026</t>
  </si>
  <si>
    <t>Rev_Jan</t>
  </si>
  <si>
    <t>Rev_Feb</t>
  </si>
  <si>
    <t>Rev_Mar</t>
  </si>
  <si>
    <t>Rev_Apr</t>
  </si>
  <si>
    <t>Rev_May</t>
  </si>
  <si>
    <t>Rev_Jun</t>
  </si>
  <si>
    <t>Rev_Jul</t>
  </si>
  <si>
    <t>Rev_Aug</t>
  </si>
  <si>
    <t>Rev_Sep</t>
  </si>
  <si>
    <t>Rev_Oct</t>
  </si>
  <si>
    <t>Rev_Nov</t>
  </si>
  <si>
    <t>Rev_Dec</t>
  </si>
  <si>
    <t>COGS_Jan</t>
  </si>
  <si>
    <t>COGS_Feb</t>
  </si>
  <si>
    <t>COGS_Mar</t>
  </si>
  <si>
    <t>COGS_Apr</t>
  </si>
  <si>
    <t>COGS_May</t>
  </si>
  <si>
    <t>COGS_Jun</t>
  </si>
  <si>
    <t>COGS_Jul</t>
  </si>
  <si>
    <t>COGS_Aug</t>
  </si>
  <si>
    <t>COGS_Sep</t>
  </si>
  <si>
    <t>COGS_Oct</t>
  </si>
  <si>
    <t>COGS_Nov</t>
  </si>
  <si>
    <t>COGS_Dec</t>
  </si>
  <si>
    <t>Equipment Loan (-)</t>
  </si>
  <si>
    <t>Annual Debt Service</t>
  </si>
  <si>
    <t>Price per kg (unit)</t>
  </si>
  <si>
    <t>Additional Cost (per lb)</t>
  </si>
  <si>
    <t>Delivered</t>
  </si>
  <si>
    <t>Turmeric Vextrano Encapsulated</t>
  </si>
  <si>
    <t>Natural Yellow H1385 (Synthite)</t>
  </si>
  <si>
    <t>EXW Tinley Park, IL</t>
  </si>
  <si>
    <t>Synthite</t>
  </si>
  <si>
    <t>Tocobiol SF</t>
  </si>
  <si>
    <t>Sun Flower Oil (Columbus Oils)</t>
  </si>
  <si>
    <t>Ajinomoto</t>
  </si>
  <si>
    <t>FOB MO</t>
  </si>
  <si>
    <t>VJfC Bcarrot/BIB</t>
  </si>
  <si>
    <t>DAP Washington</t>
  </si>
  <si>
    <t>Doehler</t>
  </si>
  <si>
    <t>Black Carrot</t>
  </si>
  <si>
    <t>EXW Madrid</t>
  </si>
  <si>
    <t>Spain</t>
  </si>
  <si>
    <t>55 gal steel open head drums</t>
  </si>
  <si>
    <t>Natural Red C1309</t>
  </si>
  <si>
    <t>Natural Red C1309 (44)</t>
  </si>
  <si>
    <t>Natural Carotene FP100</t>
  </si>
  <si>
    <t>Natural Yellow G1301-N (Cybercolors)</t>
  </si>
  <si>
    <t>EXW Ireland</t>
  </si>
  <si>
    <t>Red Cabbage</t>
  </si>
  <si>
    <t>Red Cabbage E60</t>
  </si>
  <si>
    <t>Red Cabbage E60 (Nutracean)</t>
  </si>
  <si>
    <t>Natural Red B1416 (8)</t>
  </si>
  <si>
    <t xml:space="preserve">Natural Red B1416   </t>
  </si>
  <si>
    <t>Carmine Extract WS3</t>
  </si>
  <si>
    <t>Natural Red Q1404 (Cybercolors)</t>
  </si>
  <si>
    <t>Pecan Deluxe</t>
  </si>
  <si>
    <t>Beta Carotene</t>
  </si>
  <si>
    <t>Natural Yellow G3401-N</t>
  </si>
  <si>
    <t>Beta Carotene WS5</t>
  </si>
  <si>
    <t>Natural Yellow G3403 (Cybercolors)</t>
  </si>
  <si>
    <t>Ascorbic Acid 162028</t>
  </si>
  <si>
    <t>Potassium Sorbate</t>
  </si>
  <si>
    <t>Potassium Sorbate (Brenntag)</t>
  </si>
  <si>
    <t>Ascorbic Acid (Brenntag)</t>
  </si>
  <si>
    <t>Natural Yellow G3401-N (44)</t>
  </si>
  <si>
    <t>Tony</t>
  </si>
  <si>
    <t>Black Carrot EV100</t>
  </si>
  <si>
    <t>Black Carrot EV100 (Nutracean)</t>
  </si>
  <si>
    <t>Natural Red C1409</t>
  </si>
  <si>
    <t>Sorbitol</t>
  </si>
  <si>
    <t>Sorbitol*</t>
  </si>
  <si>
    <t>Natural Red C1409 Chen</t>
  </si>
  <si>
    <t>VJfC Bcarrot/BIB (Dohler)</t>
  </si>
  <si>
    <t>Tocobiol SF (BTSA)</t>
  </si>
  <si>
    <t>Liber &amp; Co</t>
  </si>
  <si>
    <t>Natural Yellow H1485 (Synthite)</t>
  </si>
  <si>
    <t>Turmeric 8.5% liquid</t>
  </si>
  <si>
    <t>Natural Red C1409 (8)</t>
  </si>
  <si>
    <t>Pocantico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</si>
</sst>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Arial"/>
      <family val="2"/>
    </font>
    <font>
      <sz val="11"/>
      <color rgb="FF000000"/>
      <name val="Aptos Narrow"/>
      <family val="2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rgb="FF000000"/>
      <name val="Arial"/>
      <family val="2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93C47D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DBE9F7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7">
    <xf numFmtId="0" fontId="0" fillId="0" borderId="0" xfId="0"/>
    <xf numFmtId="0" fontId="1" fillId="0" borderId="0" xfId="0" applyFont="1"/>
    <xf numFmtId="164" fontId="4" fillId="0" borderId="0" xfId="0" applyNumberFormat="1" applyFont="1"/>
    <xf numFmtId="0" fontId="3" fillId="0" borderId="0" xfId="0" applyFont="1"/>
    <xf numFmtId="9" fontId="3" fillId="2" borderId="0" xfId="0" applyNumberFormat="1" applyFont="1" applyFill="1"/>
    <xf numFmtId="0" fontId="6" fillId="0" borderId="0" xfId="0" applyFont="1" applyAlignment="1">
      <alignment wrapText="1"/>
    </xf>
    <xf numFmtId="0" fontId="7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3" borderId="2" xfId="0" applyFill="1" applyBorder="1"/>
    <xf numFmtId="0" fontId="0" fillId="3" borderId="0" xfId="0" applyFill="1"/>
    <xf numFmtId="0" fontId="0" fillId="3" borderId="3" xfId="0" applyFill="1" applyBorder="1"/>
    <xf numFmtId="0" fontId="9" fillId="0" borderId="1" xfId="0" applyFont="1" applyBorder="1"/>
    <xf numFmtId="164" fontId="9" fillId="0" borderId="1" xfId="0" applyNumberFormat="1" applyFont="1" applyBorder="1"/>
    <xf numFmtId="0" fontId="9" fillId="0" borderId="1" xfId="0" applyFont="1" applyBorder="1" applyAlignment="1">
      <alignment horizontal="left"/>
    </xf>
    <xf numFmtId="9" fontId="9" fillId="0" borderId="1" xfId="0" applyNumberFormat="1" applyFont="1" applyBorder="1"/>
    <xf numFmtId="164" fontId="9" fillId="0" borderId="1" xfId="0" applyNumberFormat="1" applyFont="1" applyBorder="1" applyAlignment="1">
      <alignment wrapText="1"/>
    </xf>
    <xf numFmtId="9" fontId="9" fillId="0" borderId="1" xfId="0" applyNumberFormat="1" applyFont="1" applyBorder="1" applyAlignment="1">
      <alignment wrapText="1"/>
    </xf>
    <xf numFmtId="9" fontId="4" fillId="2" borderId="0" xfId="0" applyNumberFormat="1" applyFont="1" applyFill="1"/>
    <xf numFmtId="0" fontId="4" fillId="0" borderId="0" xfId="0" applyFont="1" applyAlignment="1">
      <alignment wrapText="1"/>
    </xf>
    <xf numFmtId="164" fontId="3" fillId="0" borderId="0" xfId="0" applyNumberFormat="1" applyFont="1"/>
    <xf numFmtId="0" fontId="10" fillId="0" borderId="0" xfId="0" applyFont="1" applyAlignment="1">
      <alignment wrapText="1"/>
    </xf>
    <xf numFmtId="164" fontId="9" fillId="0" borderId="0" xfId="0" applyNumberFormat="1" applyFont="1"/>
    <xf numFmtId="9" fontId="4" fillId="0" borderId="0" xfId="0" applyNumberFormat="1" applyFont="1"/>
    <xf numFmtId="9" fontId="4" fillId="0" borderId="0" xfId="0" applyNumberFormat="1" applyFont="1" applyAlignment="1">
      <alignment horizontal="left"/>
    </xf>
    <xf numFmtId="0" fontId="1" fillId="3" borderId="0" xfId="0" applyFont="1" applyFill="1"/>
    <xf numFmtId="164" fontId="4" fillId="4" borderId="0" xfId="0" applyNumberFormat="1" applyFont="1" applyFill="1"/>
    <xf numFmtId="164" fontId="3" fillId="4" borderId="0" xfId="0" applyNumberFormat="1" applyFont="1" applyFill="1"/>
    <xf numFmtId="44" fontId="4" fillId="4" borderId="0" xfId="0" applyNumberFormat="1" applyFont="1" applyFill="1"/>
    <xf numFmtId="44" fontId="3" fillId="4" borderId="0" xfId="0" applyNumberFormat="1" applyFont="1" applyFill="1"/>
    <xf numFmtId="164" fontId="3" fillId="3" borderId="0" xfId="0" applyNumberFormat="1" applyFont="1" applyFill="1"/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9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9" fillId="3" borderId="0" xfId="0" applyFont="1" applyFill="1" applyAlignment="1">
      <alignment horizontal="left" wrapText="1"/>
    </xf>
    <xf numFmtId="9" fontId="4" fillId="3" borderId="0" xfId="0" applyNumberFormat="1" applyFont="1" applyFill="1" applyAlignment="1">
      <alignment horizontal="left"/>
    </xf>
    <xf numFmtId="164" fontId="4" fillId="3" borderId="0" xfId="0" applyNumberFormat="1" applyFont="1" applyFill="1"/>
    <xf numFmtId="9" fontId="4" fillId="3" borderId="0" xfId="0" applyNumberFormat="1" applyFont="1" applyFill="1"/>
    <xf numFmtId="0" fontId="9" fillId="3" borderId="1" xfId="0" applyFont="1" applyFill="1" applyBorder="1"/>
    <xf numFmtId="164" fontId="9" fillId="3" borderId="1" xfId="0" applyNumberFormat="1" applyFont="1" applyFill="1" applyBorder="1"/>
    <xf numFmtId="0" fontId="8" fillId="5" borderId="0" xfId="0" applyFont="1" applyFill="1"/>
    <xf numFmtId="44" fontId="0" fillId="0" borderId="2" xfId="1" applyFont="1" applyBorder="1"/>
    <xf numFmtId="44" fontId="0" fillId="0" borderId="0" xfId="1" applyFont="1" applyBorder="1"/>
    <xf numFmtId="44" fontId="0" fillId="0" borderId="3" xfId="1" applyFont="1" applyBorder="1"/>
    <xf numFmtId="0" fontId="0" fillId="0" borderId="4" xfId="0" applyBorder="1"/>
    <xf numFmtId="0" fontId="0" fillId="3" borderId="8" xfId="0" applyFill="1" applyBorder="1"/>
    <xf numFmtId="0" fontId="8" fillId="0" borderId="0" xfId="0" applyFont="1"/>
    <xf numFmtId="0" fontId="7" fillId="0" borderId="9" xfId="0" applyFont="1" applyBorder="1"/>
    <xf numFmtId="0" fontId="0" fillId="0" borderId="10" xfId="0" applyBorder="1"/>
    <xf numFmtId="44" fontId="0" fillId="0" borderId="11" xfId="1" applyFont="1" applyBorder="1"/>
    <xf numFmtId="0" fontId="0" fillId="0" borderId="8" xfId="0" applyBorder="1"/>
    <xf numFmtId="44" fontId="0" fillId="0" borderId="9" xfId="1" applyFont="1" applyBorder="1"/>
    <xf numFmtId="0" fontId="0" fillId="0" borderId="12" xfId="0" applyBorder="1"/>
    <xf numFmtId="44" fontId="0" fillId="0" borderId="13" xfId="1" applyFont="1" applyBorder="1"/>
    <xf numFmtId="0" fontId="0" fillId="0" borderId="14" xfId="0" applyBorder="1"/>
    <xf numFmtId="44" fontId="0" fillId="3" borderId="15" xfId="1" applyFont="1" applyFill="1" applyBorder="1"/>
    <xf numFmtId="44" fontId="0" fillId="0" borderId="15" xfId="0" applyNumberFormat="1" applyBorder="1"/>
    <xf numFmtId="0" fontId="0" fillId="0" borderId="16" xfId="0" applyBorder="1"/>
    <xf numFmtId="0" fontId="0" fillId="0" borderId="17" xfId="0" applyBorder="1"/>
    <xf numFmtId="44" fontId="0" fillId="0" borderId="18" xfId="0" applyNumberFormat="1" applyBorder="1"/>
    <xf numFmtId="0" fontId="0" fillId="6" borderId="0" xfId="0" applyFill="1"/>
    <xf numFmtId="0" fontId="0" fillId="6" borderId="8" xfId="0" applyFill="1" applyBorder="1"/>
    <xf numFmtId="44" fontId="0" fillId="6" borderId="9" xfId="0" applyNumberFormat="1" applyFill="1" applyBorder="1"/>
    <xf numFmtId="44" fontId="0" fillId="6" borderId="0" xfId="0" applyNumberFormat="1" applyFill="1"/>
    <xf numFmtId="10" fontId="0" fillId="3" borderId="2" xfId="2" applyNumberFormat="1" applyFont="1" applyFill="1" applyBorder="1"/>
    <xf numFmtId="10" fontId="0" fillId="3" borderId="0" xfId="2" applyNumberFormat="1" applyFont="1" applyFill="1" applyBorder="1"/>
    <xf numFmtId="10" fontId="0" fillId="3" borderId="3" xfId="2" applyNumberFormat="1" applyFont="1" applyFill="1" applyBorder="1"/>
    <xf numFmtId="0" fontId="6" fillId="3" borderId="0" xfId="0" applyFont="1" applyFill="1"/>
    <xf numFmtId="10" fontId="3" fillId="4" borderId="0" xfId="2" applyNumberFormat="1" applyFont="1" applyFill="1"/>
    <xf numFmtId="10" fontId="4" fillId="4" borderId="0" xfId="2" applyNumberFormat="1" applyFont="1" applyFill="1"/>
    <xf numFmtId="10" fontId="3" fillId="3" borderId="0" xfId="2" applyNumberFormat="1" applyFont="1" applyFill="1"/>
    <xf numFmtId="10" fontId="4" fillId="3" borderId="0" xfId="2" applyNumberFormat="1" applyFont="1" applyFill="1"/>
    <xf numFmtId="17" fontId="0" fillId="0" borderId="0" xfId="0" applyNumberFormat="1"/>
    <xf numFmtId="44" fontId="0" fillId="0" borderId="0" xfId="1" applyFont="1"/>
    <xf numFmtId="44" fontId="0" fillId="0" borderId="0" xfId="0" applyNumberFormat="1"/>
    <xf numFmtId="44" fontId="0" fillId="3" borderId="0" xfId="1" applyFont="1" applyFill="1"/>
    <xf numFmtId="9" fontId="0" fillId="0" borderId="0" xfId="0" applyNumberFormat="1"/>
    <xf numFmtId="9" fontId="0" fillId="0" borderId="0" xfId="2" applyFont="1"/>
    <xf numFmtId="10" fontId="0" fillId="0" borderId="0" xfId="0" applyNumberFormat="1"/>
    <xf numFmtId="0" fontId="8" fillId="3" borderId="0" xfId="0" applyFont="1" applyFill="1"/>
    <xf numFmtId="0" fontId="0" fillId="3" borderId="4" xfId="0" applyFill="1" applyBorder="1"/>
    <xf numFmtId="0" fontId="0" fillId="3" borderId="17" xfId="0" applyFill="1" applyBorder="1"/>
    <xf numFmtId="2" fontId="0" fillId="0" borderId="0" xfId="0" applyNumberFormat="1"/>
    <xf numFmtId="9" fontId="0" fillId="3" borderId="0" xfId="2" applyFont="1" applyFill="1"/>
    <xf numFmtId="9" fontId="0" fillId="3" borderId="0" xfId="0" applyNumberFormat="1" applyFill="1"/>
    <xf numFmtId="0" fontId="0" fillId="0" borderId="5" xfId="0" applyBorder="1"/>
    <xf numFmtId="0" fontId="0" fillId="0" borderId="19" xfId="0" applyBorder="1"/>
    <xf numFmtId="44" fontId="0" fillId="0" borderId="7" xfId="0" applyNumberFormat="1" applyBorder="1"/>
    <xf numFmtId="44" fontId="0" fillId="0" borderId="9" xfId="0" applyNumberFormat="1" applyBorder="1"/>
    <xf numFmtId="9" fontId="0" fillId="0" borderId="20" xfId="2" applyFont="1" applyBorder="1"/>
    <xf numFmtId="44" fontId="0" fillId="0" borderId="0" xfId="1" applyFont="1" applyAlignment="1">
      <alignment wrapText="1"/>
    </xf>
    <xf numFmtId="4" fontId="5" fillId="3" borderId="0" xfId="0" applyNumberFormat="1" applyFont="1" applyFill="1" applyAlignment="1">
      <alignment horizontal="left"/>
    </xf>
    <xf numFmtId="0" fontId="3" fillId="7" borderId="21" xfId="0" applyFont="1" applyFill="1" applyBorder="1" applyAlignment="1">
      <alignment wrapText="1"/>
    </xf>
    <xf numFmtId="10" fontId="3" fillId="7" borderId="21" xfId="0" applyNumberFormat="1" applyFont="1" applyFill="1" applyBorder="1" applyAlignment="1">
      <alignment horizontal="right" wrapText="1"/>
    </xf>
    <xf numFmtId="8" fontId="3" fillId="7" borderId="21" xfId="0" applyNumberFormat="1" applyFont="1" applyFill="1" applyBorder="1" applyAlignment="1">
      <alignment horizontal="right" wrapText="1"/>
    </xf>
    <xf numFmtId="44" fontId="0" fillId="0" borderId="0" xfId="1" applyFont="1" applyFill="1"/>
    <xf numFmtId="0" fontId="0" fillId="8" borderId="0" xfId="0" applyFill="1"/>
    <xf numFmtId="164" fontId="4" fillId="8" borderId="0" xfId="0" applyNumberFormat="1" applyFont="1" applyFill="1"/>
    <xf numFmtId="9" fontId="4" fillId="8" borderId="0" xfId="0" applyNumberFormat="1" applyFont="1" applyFill="1" applyAlignment="1">
      <alignment horizontal="left"/>
    </xf>
    <xf numFmtId="10" fontId="4" fillId="8" borderId="0" xfId="2" applyNumberFormat="1" applyFont="1" applyFill="1"/>
    <xf numFmtId="0" fontId="12" fillId="5" borderId="0" xfId="0" applyFont="1" applyFill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18B8-269C-425B-A26B-3F3C0B54D7E1}">
  <dimension ref="A1:T1035"/>
  <sheetViews>
    <sheetView tabSelected="1" workbookViewId="0">
      <pane ySplit="1" topLeftCell="A2" activePane="bottomLeft" state="frozen"/>
      <selection pane="bottomLeft" activeCell="N8" sqref="N8"/>
    </sheetView>
  </sheetViews>
  <sheetFormatPr defaultColWidth="12.5703125" defaultRowHeight="15" x14ac:dyDescent="0.25"/>
  <cols>
    <col min="1" max="1" width="41.85546875" bestFit="1" customWidth="1"/>
    <col min="2" max="2" width="39.5703125" bestFit="1" customWidth="1"/>
    <col min="3" max="3" width="15.140625" bestFit="1" customWidth="1"/>
    <col min="4" max="4" width="15.42578125" customWidth="1"/>
    <col min="5" max="5" width="21.7109375" customWidth="1"/>
    <col min="6" max="6" width="11.28515625" customWidth="1"/>
    <col min="7" max="7" width="13.42578125" customWidth="1"/>
    <col min="8" max="8" width="15.85546875" customWidth="1"/>
    <col min="9" max="9" width="14.5703125" customWidth="1"/>
    <col min="10" max="10" width="17.7109375" customWidth="1"/>
    <col min="11" max="11" width="17.28515625" customWidth="1"/>
    <col min="12" max="12" width="21.7109375" bestFit="1" customWidth="1"/>
    <col min="13" max="13" width="11" bestFit="1" customWidth="1"/>
    <col min="14" max="16" width="9.140625" customWidth="1"/>
    <col min="17" max="17" width="36.5703125" customWidth="1"/>
    <col min="18" max="18" width="60.85546875" bestFit="1" customWidth="1"/>
    <col min="19" max="19" width="36.5703125" customWidth="1"/>
    <col min="20" max="26" width="8.5703125" customWidth="1"/>
  </cols>
  <sheetData>
    <row r="1" spans="1:20" ht="30" x14ac:dyDescent="0.25">
      <c r="A1" s="41" t="s">
        <v>9</v>
      </c>
      <c r="B1" s="41" t="s">
        <v>10</v>
      </c>
      <c r="C1" s="42" t="s">
        <v>385</v>
      </c>
      <c r="D1" s="14" t="s">
        <v>11</v>
      </c>
      <c r="E1" s="13" t="s">
        <v>12</v>
      </c>
      <c r="F1" s="13" t="s">
        <v>13</v>
      </c>
      <c r="G1" s="13" t="s">
        <v>14</v>
      </c>
      <c r="H1" s="15" t="s">
        <v>15</v>
      </c>
      <c r="I1" s="16" t="s">
        <v>16</v>
      </c>
      <c r="J1" s="14" t="s">
        <v>17</v>
      </c>
      <c r="K1" s="17" t="s">
        <v>18</v>
      </c>
      <c r="L1" s="14" t="s">
        <v>19</v>
      </c>
      <c r="M1" s="17" t="s">
        <v>20</v>
      </c>
      <c r="N1" s="18" t="s">
        <v>21</v>
      </c>
      <c r="O1" s="17" t="s">
        <v>22</v>
      </c>
      <c r="P1" s="17" t="s">
        <v>23</v>
      </c>
      <c r="Q1" s="13" t="s">
        <v>24</v>
      </c>
      <c r="R1" s="13" t="s">
        <v>25</v>
      </c>
      <c r="S1" s="13" t="s">
        <v>26</v>
      </c>
    </row>
    <row r="2" spans="1:20" x14ac:dyDescent="0.25">
      <c r="A2" s="26" t="s">
        <v>27</v>
      </c>
      <c r="B2" s="11" t="s">
        <v>300</v>
      </c>
      <c r="C2" s="27">
        <v>12</v>
      </c>
      <c r="D2" s="2">
        <f>C2/2.20462</f>
        <v>5.443114913227677</v>
      </c>
      <c r="E2" s="26" t="s">
        <v>28</v>
      </c>
      <c r="F2" s="26" t="s">
        <v>29</v>
      </c>
      <c r="G2" s="26" t="s">
        <v>30</v>
      </c>
      <c r="H2" s="35" t="s">
        <v>31</v>
      </c>
      <c r="I2" s="71">
        <v>0.38100000000000001</v>
      </c>
      <c r="J2" s="27">
        <v>3</v>
      </c>
      <c r="K2" s="2">
        <v>0</v>
      </c>
      <c r="L2" s="2">
        <f>(C2*(1+I2))+J2</f>
        <v>19.571999999999999</v>
      </c>
      <c r="M2" s="2">
        <f>L2/2.20462</f>
        <v>8.8777204234743401</v>
      </c>
      <c r="N2" s="19"/>
      <c r="O2" s="2">
        <f t="shared" ref="O2" si="0">L2/(1-N2)</f>
        <v>19.571999999999999</v>
      </c>
      <c r="P2" s="2">
        <f t="shared" ref="P2:P4" si="1">O2/2.2</f>
        <v>8.8963636363636347</v>
      </c>
    </row>
    <row r="3" spans="1:20" ht="17.25" customHeight="1" x14ac:dyDescent="0.25">
      <c r="A3" s="26" t="s">
        <v>27</v>
      </c>
      <c r="B3" s="11" t="s">
        <v>301</v>
      </c>
      <c r="C3" s="27">
        <v>13.4</v>
      </c>
      <c r="D3" s="2">
        <f t="shared" ref="D3:D70" si="2">C3/2.20462</f>
        <v>6.0781449864375725</v>
      </c>
      <c r="E3" s="26" t="s">
        <v>33</v>
      </c>
      <c r="F3" s="26" t="s">
        <v>34</v>
      </c>
      <c r="G3" s="26" t="s">
        <v>30</v>
      </c>
      <c r="H3" s="35" t="s">
        <v>31</v>
      </c>
      <c r="I3" s="71">
        <v>0.03</v>
      </c>
      <c r="J3" s="27">
        <v>3</v>
      </c>
      <c r="K3" s="2">
        <v>0</v>
      </c>
      <c r="L3" s="2">
        <f t="shared" ref="L3:L12" si="3">(C3*(1+I3))+J3</f>
        <v>16.802</v>
      </c>
      <c r="M3" s="2">
        <f t="shared" ref="M3:M76" si="4">L3/2.20462</f>
        <v>7.6212680643376185</v>
      </c>
      <c r="N3" s="4">
        <v>0.32</v>
      </c>
      <c r="O3" s="2">
        <f>L3/(1-N3)</f>
        <v>24.708823529411767</v>
      </c>
      <c r="P3" s="2">
        <f t="shared" si="1"/>
        <v>11.231283422459892</v>
      </c>
      <c r="S3" s="20"/>
      <c r="T3" s="5"/>
    </row>
    <row r="4" spans="1:20" ht="16.5" customHeight="1" x14ac:dyDescent="0.25">
      <c r="A4" s="26" t="s">
        <v>35</v>
      </c>
      <c r="B4" s="11" t="s">
        <v>302</v>
      </c>
      <c r="C4" s="28">
        <v>12.95</v>
      </c>
      <c r="D4" s="2">
        <f t="shared" si="2"/>
        <v>5.8740281771915344</v>
      </c>
      <c r="E4" s="33" t="s">
        <v>37</v>
      </c>
      <c r="F4" s="33" t="s">
        <v>38</v>
      </c>
      <c r="G4" s="33" t="s">
        <v>39</v>
      </c>
      <c r="H4" s="35" t="s">
        <v>40</v>
      </c>
      <c r="I4" s="71">
        <v>0.15</v>
      </c>
      <c r="J4" s="28">
        <v>1.25</v>
      </c>
      <c r="K4" s="21">
        <v>0</v>
      </c>
      <c r="L4" s="2">
        <f t="shared" si="3"/>
        <v>16.142499999999998</v>
      </c>
      <c r="M4" s="2">
        <f t="shared" si="4"/>
        <v>7.3221235405648137</v>
      </c>
      <c r="N4" s="4">
        <v>0.3</v>
      </c>
      <c r="O4" s="2">
        <f>L4/(1-N4)</f>
        <v>23.060714285714283</v>
      </c>
      <c r="P4" s="2">
        <f t="shared" si="1"/>
        <v>10.482142857142856</v>
      </c>
      <c r="Q4" s="3"/>
      <c r="T4" s="22" t="s">
        <v>149</v>
      </c>
    </row>
    <row r="5" spans="1:20" ht="16.5" customHeight="1" x14ac:dyDescent="0.25">
      <c r="A5" s="26" t="s">
        <v>197</v>
      </c>
      <c r="B5" s="11" t="s">
        <v>303</v>
      </c>
      <c r="C5" s="28">
        <v>10.4</v>
      </c>
      <c r="D5" s="2">
        <f t="shared" si="2"/>
        <v>4.7173662581306539</v>
      </c>
      <c r="E5" s="33" t="s">
        <v>41</v>
      </c>
      <c r="F5" s="33" t="s">
        <v>38</v>
      </c>
      <c r="G5" s="33" t="s">
        <v>39</v>
      </c>
      <c r="H5" s="35" t="s">
        <v>40</v>
      </c>
      <c r="I5" s="71">
        <v>0.15</v>
      </c>
      <c r="J5" s="28">
        <v>1.5</v>
      </c>
      <c r="K5" s="2">
        <v>0</v>
      </c>
      <c r="L5" s="2">
        <f t="shared" si="3"/>
        <v>13.459999999999999</v>
      </c>
      <c r="M5" s="2">
        <f t="shared" si="4"/>
        <v>6.1053605610037103</v>
      </c>
      <c r="N5" s="4"/>
      <c r="O5" s="2"/>
      <c r="P5" s="2"/>
      <c r="T5" s="22"/>
    </row>
    <row r="6" spans="1:20" ht="16.5" customHeight="1" x14ac:dyDescent="0.25">
      <c r="A6" s="26" t="s">
        <v>42</v>
      </c>
      <c r="B6" s="11" t="s">
        <v>304</v>
      </c>
      <c r="C6" s="27">
        <v>20.75</v>
      </c>
      <c r="D6" s="2">
        <f t="shared" si="2"/>
        <v>9.412052870789525</v>
      </c>
      <c r="E6" s="33" t="s">
        <v>43</v>
      </c>
      <c r="F6" s="33" t="s">
        <v>44</v>
      </c>
      <c r="G6" s="26" t="s">
        <v>39</v>
      </c>
      <c r="H6" s="34" t="s">
        <v>40</v>
      </c>
      <c r="I6" s="71">
        <v>0.5</v>
      </c>
      <c r="J6" s="27">
        <v>3.14</v>
      </c>
      <c r="K6" s="2">
        <v>0</v>
      </c>
      <c r="L6" s="2">
        <f t="shared" si="3"/>
        <v>34.265000000000001</v>
      </c>
      <c r="M6" s="2">
        <f t="shared" si="4"/>
        <v>15.542361041812196</v>
      </c>
      <c r="N6" s="4">
        <v>0.32</v>
      </c>
      <c r="O6" s="2">
        <f t="shared" ref="O6:O58" si="5">L6/(1-N6)</f>
        <v>50.389705882352949</v>
      </c>
      <c r="P6" s="2">
        <f t="shared" ref="P6:P58" si="6">O6/2.2</f>
        <v>22.904411764705884</v>
      </c>
      <c r="R6" s="1" t="s">
        <v>45</v>
      </c>
      <c r="S6" s="1" t="s">
        <v>46</v>
      </c>
      <c r="T6" s="5" t="s">
        <v>47</v>
      </c>
    </row>
    <row r="7" spans="1:20" ht="16.5" customHeight="1" x14ac:dyDescent="0.25">
      <c r="A7" s="26" t="s">
        <v>150</v>
      </c>
      <c r="B7" s="11" t="s">
        <v>305</v>
      </c>
      <c r="C7" s="28">
        <v>7.85</v>
      </c>
      <c r="D7" s="2">
        <f t="shared" si="2"/>
        <v>3.5607043390697717</v>
      </c>
      <c r="E7" s="33" t="s">
        <v>41</v>
      </c>
      <c r="F7" s="33" t="s">
        <v>38</v>
      </c>
      <c r="G7" s="33" t="s">
        <v>39</v>
      </c>
      <c r="H7" s="35" t="s">
        <v>40</v>
      </c>
      <c r="I7" s="71">
        <v>0.15</v>
      </c>
      <c r="J7" s="28">
        <v>4</v>
      </c>
      <c r="K7" s="21">
        <v>0</v>
      </c>
      <c r="L7" s="2">
        <f t="shared" si="3"/>
        <v>13.027499999999998</v>
      </c>
      <c r="M7" s="2">
        <f t="shared" si="4"/>
        <v>5.9091816276727958</v>
      </c>
      <c r="N7" s="4">
        <v>0.3</v>
      </c>
      <c r="O7" s="2">
        <f t="shared" si="5"/>
        <v>18.610714285714284</v>
      </c>
      <c r="P7" s="2">
        <f t="shared" si="6"/>
        <v>8.4594155844155825</v>
      </c>
      <c r="T7" s="5"/>
    </row>
    <row r="8" spans="1:20" ht="16.5" customHeight="1" x14ac:dyDescent="0.25">
      <c r="A8" s="26" t="s">
        <v>48</v>
      </c>
      <c r="B8" s="11" t="s">
        <v>306</v>
      </c>
      <c r="C8" s="28">
        <v>37.75</v>
      </c>
      <c r="D8" s="2">
        <f t="shared" si="2"/>
        <v>17.1231323311954</v>
      </c>
      <c r="E8" s="33" t="s">
        <v>49</v>
      </c>
      <c r="F8" s="33" t="s">
        <v>38</v>
      </c>
      <c r="G8" s="33" t="s">
        <v>39</v>
      </c>
      <c r="H8" s="34" t="s">
        <v>50</v>
      </c>
      <c r="I8" s="71">
        <v>3.1E-2</v>
      </c>
      <c r="J8" s="28">
        <v>6</v>
      </c>
      <c r="K8" s="2">
        <v>0</v>
      </c>
      <c r="L8" s="2">
        <f t="shared" si="3"/>
        <v>44.920249999999996</v>
      </c>
      <c r="M8" s="2">
        <f t="shared" si="4"/>
        <v>20.375506890076295</v>
      </c>
      <c r="N8" s="4">
        <v>0.25</v>
      </c>
      <c r="O8" s="2">
        <f t="shared" si="5"/>
        <v>59.893666666666661</v>
      </c>
      <c r="P8" s="2">
        <f t="shared" si="6"/>
        <v>27.224393939393934</v>
      </c>
      <c r="T8" s="5"/>
    </row>
    <row r="9" spans="1:20" ht="16.5" customHeight="1" x14ac:dyDescent="0.25">
      <c r="A9" s="26" t="s">
        <v>51</v>
      </c>
      <c r="B9" s="11" t="s">
        <v>307</v>
      </c>
      <c r="C9" s="28">
        <v>345</v>
      </c>
      <c r="D9" s="2">
        <f t="shared" si="2"/>
        <v>156.4895537552957</v>
      </c>
      <c r="E9" s="33" t="s">
        <v>49</v>
      </c>
      <c r="F9" s="33" t="s">
        <v>52</v>
      </c>
      <c r="G9" s="33" t="s">
        <v>39</v>
      </c>
      <c r="H9" s="35" t="s">
        <v>50</v>
      </c>
      <c r="I9" s="71">
        <v>0.1</v>
      </c>
      <c r="J9" s="28">
        <v>4</v>
      </c>
      <c r="K9" s="2">
        <v>0</v>
      </c>
      <c r="L9" s="2">
        <f t="shared" si="3"/>
        <v>383.50000000000006</v>
      </c>
      <c r="M9" s="2">
        <f t="shared" si="4"/>
        <v>173.95288076856787</v>
      </c>
      <c r="N9" s="4">
        <v>0.25</v>
      </c>
      <c r="O9" s="2">
        <f t="shared" si="5"/>
        <v>511.33333333333343</v>
      </c>
      <c r="P9" s="2">
        <f t="shared" si="6"/>
        <v>232.42424242424244</v>
      </c>
      <c r="T9" s="5"/>
    </row>
    <row r="10" spans="1:20" s="1" customFormat="1" ht="16.5" customHeight="1" x14ac:dyDescent="0.25">
      <c r="A10" s="26" t="s">
        <v>53</v>
      </c>
      <c r="B10" s="11" t="s">
        <v>308</v>
      </c>
      <c r="C10" s="28">
        <v>64.64</v>
      </c>
      <c r="D10" s="2">
        <f t="shared" si="2"/>
        <v>29.320245665919753</v>
      </c>
      <c r="E10" s="33" t="s">
        <v>41</v>
      </c>
      <c r="F10" s="33" t="s">
        <v>38</v>
      </c>
      <c r="G10" s="33" t="s">
        <v>39</v>
      </c>
      <c r="H10" s="35" t="s">
        <v>54</v>
      </c>
      <c r="I10" s="71">
        <v>0.15</v>
      </c>
      <c r="J10" s="28">
        <v>1.5</v>
      </c>
      <c r="K10" s="21">
        <v>0</v>
      </c>
      <c r="L10" s="2">
        <f t="shared" si="3"/>
        <v>75.835999999999999</v>
      </c>
      <c r="M10" s="2">
        <f t="shared" si="4"/>
        <v>34.398671879961178</v>
      </c>
      <c r="N10" s="4">
        <v>0.35</v>
      </c>
      <c r="O10" s="2">
        <f t="shared" si="5"/>
        <v>116.67076923076922</v>
      </c>
      <c r="P10" s="2">
        <f t="shared" si="6"/>
        <v>53.032167832167822</v>
      </c>
      <c r="T10" s="5"/>
    </row>
    <row r="11" spans="1:20" ht="16.5" customHeight="1" x14ac:dyDescent="0.25">
      <c r="A11" s="26" t="s">
        <v>55</v>
      </c>
      <c r="B11" s="26" t="s">
        <v>168</v>
      </c>
      <c r="C11" s="27">
        <v>58.5</v>
      </c>
      <c r="D11" s="2">
        <f t="shared" si="2"/>
        <v>26.535185201984923</v>
      </c>
      <c r="E11" s="26" t="s">
        <v>56</v>
      </c>
      <c r="F11" s="26" t="s">
        <v>52</v>
      </c>
      <c r="G11" s="26" t="s">
        <v>57</v>
      </c>
      <c r="H11" s="34" t="s">
        <v>40</v>
      </c>
      <c r="I11" s="71">
        <v>0.1</v>
      </c>
      <c r="J11" s="27">
        <v>0.5</v>
      </c>
      <c r="K11" s="2">
        <v>0</v>
      </c>
      <c r="L11" s="2">
        <f t="shared" si="3"/>
        <v>64.850000000000009</v>
      </c>
      <c r="M11" s="2">
        <f t="shared" si="4"/>
        <v>29.41550017690124</v>
      </c>
      <c r="N11" s="4">
        <v>0.1</v>
      </c>
      <c r="O11" s="2">
        <f t="shared" si="5"/>
        <v>72.055555555555557</v>
      </c>
      <c r="P11" s="2">
        <f t="shared" si="6"/>
        <v>32.752525252525253</v>
      </c>
      <c r="T11" s="5"/>
    </row>
    <row r="12" spans="1:20" x14ac:dyDescent="0.25">
      <c r="A12" s="26" t="s">
        <v>55</v>
      </c>
      <c r="B12" s="26" t="s">
        <v>167</v>
      </c>
      <c r="C12" s="27">
        <v>52.3</v>
      </c>
      <c r="D12" s="2">
        <f t="shared" si="2"/>
        <v>23.722909163483958</v>
      </c>
      <c r="E12" s="26" t="s">
        <v>58</v>
      </c>
      <c r="F12" s="26" t="s">
        <v>52</v>
      </c>
      <c r="G12" s="26" t="s">
        <v>59</v>
      </c>
      <c r="H12" s="34" t="s">
        <v>40</v>
      </c>
      <c r="I12" s="71">
        <v>0.1</v>
      </c>
      <c r="J12" s="27"/>
      <c r="K12" s="2">
        <v>0</v>
      </c>
      <c r="L12" s="2">
        <f t="shared" si="3"/>
        <v>57.53</v>
      </c>
      <c r="M12" s="2">
        <f t="shared" si="4"/>
        <v>26.095200079832356</v>
      </c>
      <c r="N12" s="4">
        <v>0.17499999999999999</v>
      </c>
      <c r="O12" s="2">
        <f t="shared" si="5"/>
        <v>69.733333333333334</v>
      </c>
      <c r="P12" s="2">
        <f t="shared" si="6"/>
        <v>31.696969696969695</v>
      </c>
      <c r="T12" s="5"/>
    </row>
    <row r="13" spans="1:20" ht="21.75" customHeight="1" x14ac:dyDescent="0.25">
      <c r="A13" s="26" t="s">
        <v>60</v>
      </c>
      <c r="B13" s="11" t="s">
        <v>309</v>
      </c>
      <c r="C13" s="27">
        <v>5.3</v>
      </c>
      <c r="D13" s="2">
        <f t="shared" si="2"/>
        <v>2.4040424200088903</v>
      </c>
      <c r="E13" s="26" t="s">
        <v>28</v>
      </c>
      <c r="F13" s="26" t="s">
        <v>61</v>
      </c>
      <c r="G13" s="26" t="s">
        <v>62</v>
      </c>
      <c r="H13" s="37" t="s">
        <v>63</v>
      </c>
      <c r="I13" s="71">
        <v>0.56499999999999995</v>
      </c>
      <c r="J13" s="27">
        <v>1.25</v>
      </c>
      <c r="K13" s="2">
        <v>1</v>
      </c>
      <c r="L13" s="2">
        <f t="shared" ref="L13:L21" si="7">(C13*(1+I13))+J13+K13</f>
        <v>10.544499999999999</v>
      </c>
      <c r="M13" s="2">
        <f t="shared" si="4"/>
        <v>4.7829104335441031</v>
      </c>
      <c r="N13" s="4">
        <v>0.3</v>
      </c>
      <c r="O13" s="2">
        <f t="shared" si="5"/>
        <v>15.063571428571429</v>
      </c>
      <c r="P13" s="2">
        <f t="shared" si="6"/>
        <v>6.8470779220779212</v>
      </c>
      <c r="S13" s="1" t="s">
        <v>46</v>
      </c>
    </row>
    <row r="14" spans="1:20" x14ac:dyDescent="0.25">
      <c r="A14" s="26" t="s">
        <v>64</v>
      </c>
      <c r="B14" s="26" t="s">
        <v>166</v>
      </c>
      <c r="C14" s="27">
        <v>4.8</v>
      </c>
      <c r="D14" s="2">
        <f t="shared" si="2"/>
        <v>2.1772459652910707</v>
      </c>
      <c r="E14" s="26" t="s">
        <v>28</v>
      </c>
      <c r="F14" s="26" t="s">
        <v>61</v>
      </c>
      <c r="G14" s="26" t="s">
        <v>62</v>
      </c>
      <c r="H14" s="37" t="s">
        <v>63</v>
      </c>
      <c r="I14" s="71">
        <v>0.56499999999999995</v>
      </c>
      <c r="J14" s="27">
        <v>1.25</v>
      </c>
      <c r="K14" s="2">
        <v>1</v>
      </c>
      <c r="L14" s="2">
        <f t="shared" si="7"/>
        <v>9.7620000000000005</v>
      </c>
      <c r="M14" s="2">
        <f t="shared" si="4"/>
        <v>4.4279739819107151</v>
      </c>
      <c r="N14" s="4">
        <v>0.3</v>
      </c>
      <c r="O14" s="2">
        <f t="shared" si="5"/>
        <v>13.945714285714287</v>
      </c>
      <c r="P14" s="2">
        <f t="shared" si="6"/>
        <v>6.3389610389610391</v>
      </c>
      <c r="S14" s="1" t="s">
        <v>46</v>
      </c>
    </row>
    <row r="15" spans="1:20" x14ac:dyDescent="0.25">
      <c r="A15" s="26" t="s">
        <v>65</v>
      </c>
      <c r="B15" s="26" t="s">
        <v>165</v>
      </c>
      <c r="C15" s="27">
        <v>15.8</v>
      </c>
      <c r="D15" s="2">
        <f t="shared" si="2"/>
        <v>7.1667679690831081</v>
      </c>
      <c r="E15" s="26" t="s">
        <v>28</v>
      </c>
      <c r="F15" s="26" t="s">
        <v>61</v>
      </c>
      <c r="G15" s="26" t="s">
        <v>62</v>
      </c>
      <c r="H15" s="34" t="s">
        <v>66</v>
      </c>
      <c r="I15" s="71">
        <v>0.56499999999999995</v>
      </c>
      <c r="J15" s="27">
        <v>1.25</v>
      </c>
      <c r="K15" s="2">
        <v>1</v>
      </c>
      <c r="L15" s="2">
        <f t="shared" si="7"/>
        <v>26.977</v>
      </c>
      <c r="M15" s="2">
        <f t="shared" si="4"/>
        <v>12.236575917845254</v>
      </c>
      <c r="N15" s="4">
        <v>0.3</v>
      </c>
      <c r="O15" s="2">
        <f t="shared" si="5"/>
        <v>38.53857142857143</v>
      </c>
      <c r="P15" s="2">
        <f t="shared" si="6"/>
        <v>17.517532467532465</v>
      </c>
      <c r="S15" s="1" t="s">
        <v>46</v>
      </c>
    </row>
    <row r="16" spans="1:20" x14ac:dyDescent="0.25">
      <c r="A16" s="26" t="s">
        <v>67</v>
      </c>
      <c r="B16" s="26" t="s">
        <v>164</v>
      </c>
      <c r="C16" s="27">
        <v>9.3000000000000007</v>
      </c>
      <c r="D16" s="2">
        <f t="shared" si="2"/>
        <v>4.21841405775145</v>
      </c>
      <c r="E16" s="26" t="s">
        <v>28</v>
      </c>
      <c r="F16" s="26" t="s">
        <v>61</v>
      </c>
      <c r="G16" s="26" t="s">
        <v>62</v>
      </c>
      <c r="H16" s="34" t="s">
        <v>68</v>
      </c>
      <c r="I16" s="71">
        <v>0.56499999999999995</v>
      </c>
      <c r="J16" s="27">
        <v>1.25</v>
      </c>
      <c r="K16" s="2">
        <v>1</v>
      </c>
      <c r="L16" s="2">
        <f t="shared" si="7"/>
        <v>16.804500000000001</v>
      </c>
      <c r="M16" s="2">
        <f t="shared" si="4"/>
        <v>7.6224020466112083</v>
      </c>
      <c r="N16" s="4">
        <v>0.3</v>
      </c>
      <c r="O16" s="2">
        <f t="shared" si="5"/>
        <v>24.006428571428575</v>
      </c>
      <c r="P16" s="2">
        <f t="shared" si="6"/>
        <v>10.912012987012988</v>
      </c>
      <c r="S16" s="1" t="s">
        <v>46</v>
      </c>
    </row>
    <row r="17" spans="1:19" x14ac:dyDescent="0.25">
      <c r="A17" s="26" t="s">
        <v>69</v>
      </c>
      <c r="B17" s="26" t="s">
        <v>163</v>
      </c>
      <c r="C17" s="27">
        <v>71.2</v>
      </c>
      <c r="D17" s="2">
        <f t="shared" si="2"/>
        <v>32.29581515181755</v>
      </c>
      <c r="E17" s="26" t="s">
        <v>28</v>
      </c>
      <c r="F17" s="26" t="s">
        <v>61</v>
      </c>
      <c r="G17" s="26" t="s">
        <v>62</v>
      </c>
      <c r="H17" s="34" t="s">
        <v>70</v>
      </c>
      <c r="I17" s="71">
        <v>0.56499999999999995</v>
      </c>
      <c r="J17" s="27">
        <v>1.25</v>
      </c>
      <c r="K17" s="2">
        <v>1</v>
      </c>
      <c r="L17" s="2">
        <f t="shared" si="7"/>
        <v>113.678</v>
      </c>
      <c r="M17" s="2">
        <f t="shared" si="4"/>
        <v>51.563534758824652</v>
      </c>
      <c r="N17" s="4">
        <v>0.25</v>
      </c>
      <c r="O17" s="2">
        <f t="shared" si="5"/>
        <v>151.57066666666665</v>
      </c>
      <c r="P17" s="2">
        <f t="shared" si="6"/>
        <v>68.895757575757571</v>
      </c>
      <c r="S17" s="1" t="s">
        <v>46</v>
      </c>
    </row>
    <row r="18" spans="1:19" x14ac:dyDescent="0.25">
      <c r="A18" s="26" t="s">
        <v>71</v>
      </c>
      <c r="B18" s="26" t="s">
        <v>162</v>
      </c>
      <c r="C18" s="27">
        <v>14.7</v>
      </c>
      <c r="D18" s="2">
        <f t="shared" si="2"/>
        <v>6.6678157687039041</v>
      </c>
      <c r="E18" s="26" t="s">
        <v>28</v>
      </c>
      <c r="F18" s="26" t="s">
        <v>61</v>
      </c>
      <c r="G18" s="26" t="s">
        <v>62</v>
      </c>
      <c r="H18" s="34" t="s">
        <v>72</v>
      </c>
      <c r="I18" s="71">
        <v>0.56499999999999995</v>
      </c>
      <c r="J18" s="27">
        <v>1.25</v>
      </c>
      <c r="K18" s="2">
        <v>1</v>
      </c>
      <c r="L18" s="2">
        <f t="shared" si="7"/>
        <v>25.255499999999998</v>
      </c>
      <c r="M18" s="2">
        <f t="shared" si="4"/>
        <v>11.455715724251798</v>
      </c>
      <c r="N18" s="4">
        <v>0.3</v>
      </c>
      <c r="O18" s="2">
        <f t="shared" si="5"/>
        <v>36.07928571428571</v>
      </c>
      <c r="P18" s="2">
        <f t="shared" si="6"/>
        <v>16.399675324675322</v>
      </c>
      <c r="S18" s="1" t="s">
        <v>46</v>
      </c>
    </row>
    <row r="19" spans="1:19" x14ac:dyDescent="0.25">
      <c r="A19" s="26" t="s">
        <v>65</v>
      </c>
      <c r="B19" s="26" t="s">
        <v>160</v>
      </c>
      <c r="C19" s="28">
        <v>29</v>
      </c>
      <c r="D19" s="2">
        <f t="shared" si="2"/>
        <v>13.154194373633553</v>
      </c>
      <c r="E19" s="33" t="s">
        <v>73</v>
      </c>
      <c r="F19" s="33" t="s">
        <v>61</v>
      </c>
      <c r="G19" s="33" t="s">
        <v>74</v>
      </c>
      <c r="H19" s="32"/>
      <c r="I19" s="71">
        <v>0</v>
      </c>
      <c r="J19" s="28">
        <v>0.75</v>
      </c>
      <c r="K19" s="2">
        <v>1</v>
      </c>
      <c r="L19" s="2">
        <f t="shared" si="7"/>
        <v>30.75</v>
      </c>
      <c r="M19" s="2">
        <f t="shared" si="4"/>
        <v>13.947981965145923</v>
      </c>
      <c r="N19" s="4">
        <v>0.25</v>
      </c>
      <c r="O19" s="2">
        <f t="shared" si="5"/>
        <v>41</v>
      </c>
      <c r="P19" s="2">
        <f t="shared" si="6"/>
        <v>18.636363636363633</v>
      </c>
    </row>
    <row r="20" spans="1:19" x14ac:dyDescent="0.25">
      <c r="A20" s="26" t="s">
        <v>60</v>
      </c>
      <c r="B20" s="26" t="s">
        <v>161</v>
      </c>
      <c r="C20" s="28">
        <v>10.02</v>
      </c>
      <c r="D20" s="2">
        <f t="shared" si="2"/>
        <v>4.5450009525451103</v>
      </c>
      <c r="E20" s="33" t="s">
        <v>73</v>
      </c>
      <c r="F20" s="33" t="s">
        <v>61</v>
      </c>
      <c r="G20" s="33" t="s">
        <v>74</v>
      </c>
      <c r="H20" s="32"/>
      <c r="I20" s="71">
        <v>0</v>
      </c>
      <c r="J20" s="28">
        <v>0.75</v>
      </c>
      <c r="K20" s="2">
        <v>1</v>
      </c>
      <c r="L20" s="2">
        <f t="shared" si="7"/>
        <v>11.77</v>
      </c>
      <c r="M20" s="2">
        <f t="shared" si="4"/>
        <v>5.3387885440574792</v>
      </c>
      <c r="N20" s="4">
        <v>0.3</v>
      </c>
      <c r="O20" s="2">
        <f t="shared" si="5"/>
        <v>16.814285714285713</v>
      </c>
      <c r="P20" s="2">
        <f t="shared" si="6"/>
        <v>7.6428571428571415</v>
      </c>
    </row>
    <row r="21" spans="1:19" x14ac:dyDescent="0.25">
      <c r="A21" s="26" t="s">
        <v>75</v>
      </c>
      <c r="B21" s="11" t="s">
        <v>310</v>
      </c>
      <c r="C21" s="28">
        <v>7.6</v>
      </c>
      <c r="D21" s="2">
        <f t="shared" si="2"/>
        <v>3.4473061117108621</v>
      </c>
      <c r="E21" s="26" t="s">
        <v>28</v>
      </c>
      <c r="F21" s="26" t="s">
        <v>61</v>
      </c>
      <c r="G21" s="26" t="s">
        <v>62</v>
      </c>
      <c r="H21" s="32" t="s">
        <v>76</v>
      </c>
      <c r="I21" s="72"/>
      <c r="J21" s="28">
        <v>1.25</v>
      </c>
      <c r="K21" s="21">
        <v>0</v>
      </c>
      <c r="L21" s="2">
        <f t="shared" si="7"/>
        <v>8.85</v>
      </c>
      <c r="M21" s="2">
        <f t="shared" si="4"/>
        <v>4.0142972485054118</v>
      </c>
      <c r="N21" s="4">
        <v>0.3</v>
      </c>
      <c r="O21" s="2">
        <f t="shared" si="5"/>
        <v>12.642857142857142</v>
      </c>
      <c r="P21" s="2">
        <f t="shared" si="6"/>
        <v>5.7467532467532463</v>
      </c>
    </row>
    <row r="22" spans="1:19" x14ac:dyDescent="0.25">
      <c r="A22" s="26" t="s">
        <v>77</v>
      </c>
      <c r="B22" s="11" t="s">
        <v>311</v>
      </c>
      <c r="C22" s="27">
        <v>80</v>
      </c>
      <c r="D22" s="2">
        <f t="shared" si="2"/>
        <v>36.287432754851181</v>
      </c>
      <c r="E22" s="26" t="s">
        <v>78</v>
      </c>
      <c r="F22" s="26" t="s">
        <v>29</v>
      </c>
      <c r="G22" s="26" t="s">
        <v>79</v>
      </c>
      <c r="H22" s="35" t="s">
        <v>50</v>
      </c>
      <c r="I22" s="71">
        <v>0.38100000000000001</v>
      </c>
      <c r="J22" s="27">
        <v>3</v>
      </c>
      <c r="K22" s="2">
        <v>0</v>
      </c>
      <c r="L22" s="2">
        <f t="shared" ref="L22:L98" si="8">(C22*(1+I22))+J22</f>
        <v>113.48</v>
      </c>
      <c r="M22" s="2">
        <f t="shared" si="4"/>
        <v>51.473723362756402</v>
      </c>
      <c r="N22" s="4">
        <v>0.48499999999999999</v>
      </c>
      <c r="O22" s="2">
        <f t="shared" si="5"/>
        <v>220.34951456310679</v>
      </c>
      <c r="P22" s="2">
        <f t="shared" si="6"/>
        <v>100.15887025595762</v>
      </c>
      <c r="Q22" s="1" t="s">
        <v>80</v>
      </c>
    </row>
    <row r="23" spans="1:19" x14ac:dyDescent="0.25">
      <c r="A23" s="26" t="s">
        <v>81</v>
      </c>
      <c r="B23" s="11" t="s">
        <v>154</v>
      </c>
      <c r="C23" s="28">
        <v>56</v>
      </c>
      <c r="D23" s="2">
        <f t="shared" si="2"/>
        <v>25.401202928395826</v>
      </c>
      <c r="E23" s="26" t="s">
        <v>78</v>
      </c>
      <c r="F23" s="26" t="s">
        <v>29</v>
      </c>
      <c r="G23" s="26" t="s">
        <v>79</v>
      </c>
      <c r="H23" s="35" t="s">
        <v>50</v>
      </c>
      <c r="I23" s="71">
        <v>0.38100000000000001</v>
      </c>
      <c r="J23" s="27">
        <v>3</v>
      </c>
      <c r="K23" s="2">
        <v>0</v>
      </c>
      <c r="L23" s="2">
        <f t="shared" si="8"/>
        <v>80.335999999999999</v>
      </c>
      <c r="M23" s="2">
        <f t="shared" si="4"/>
        <v>36.439839972421552</v>
      </c>
      <c r="N23" s="4">
        <v>0.55000000000000004</v>
      </c>
      <c r="O23" s="2">
        <f t="shared" si="5"/>
        <v>178.52444444444447</v>
      </c>
      <c r="P23" s="2">
        <f t="shared" si="6"/>
        <v>81.147474747474746</v>
      </c>
      <c r="Q23" s="1" t="s">
        <v>82</v>
      </c>
    </row>
    <row r="24" spans="1:19" x14ac:dyDescent="0.25">
      <c r="A24" s="26" t="s">
        <v>83</v>
      </c>
      <c r="B24" s="11" t="s">
        <v>155</v>
      </c>
      <c r="C24" s="27">
        <v>95</v>
      </c>
      <c r="D24" s="2">
        <f t="shared" si="2"/>
        <v>43.091326396385774</v>
      </c>
      <c r="E24" s="26" t="s">
        <v>78</v>
      </c>
      <c r="F24" s="26" t="s">
        <v>29</v>
      </c>
      <c r="G24" s="26" t="s">
        <v>79</v>
      </c>
      <c r="H24" s="35" t="s">
        <v>50</v>
      </c>
      <c r="I24" s="71">
        <v>0.38100000000000001</v>
      </c>
      <c r="J24" s="27">
        <v>3</v>
      </c>
      <c r="K24" s="2">
        <v>0</v>
      </c>
      <c r="L24" s="2">
        <f t="shared" si="8"/>
        <v>134.19499999999999</v>
      </c>
      <c r="M24" s="2">
        <f t="shared" si="4"/>
        <v>60.869900481715675</v>
      </c>
      <c r="N24" s="19"/>
      <c r="O24" s="2">
        <f t="shared" si="5"/>
        <v>134.19499999999999</v>
      </c>
      <c r="P24" s="2">
        <f t="shared" si="6"/>
        <v>60.997727272727268</v>
      </c>
    </row>
    <row r="25" spans="1:19" x14ac:dyDescent="0.25">
      <c r="A25" s="26" t="s">
        <v>151</v>
      </c>
      <c r="B25" s="11" t="s">
        <v>312</v>
      </c>
      <c r="C25" s="28">
        <v>180</v>
      </c>
      <c r="D25" s="2">
        <f t="shared" si="2"/>
        <v>81.646723698415158</v>
      </c>
      <c r="E25" s="26" t="s">
        <v>78</v>
      </c>
      <c r="F25" s="26" t="s">
        <v>29</v>
      </c>
      <c r="G25" s="26" t="s">
        <v>79</v>
      </c>
      <c r="H25" s="35" t="s">
        <v>50</v>
      </c>
      <c r="I25" s="71">
        <v>0.38100000000000001</v>
      </c>
      <c r="J25" s="27">
        <v>3</v>
      </c>
      <c r="K25" s="2">
        <v>0</v>
      </c>
      <c r="L25" s="2">
        <f t="shared" si="8"/>
        <v>251.58</v>
      </c>
      <c r="M25" s="2">
        <f t="shared" si="4"/>
        <v>114.11490415581825</v>
      </c>
      <c r="N25" s="19"/>
      <c r="O25" s="2">
        <f t="shared" si="5"/>
        <v>251.58</v>
      </c>
      <c r="P25" s="2">
        <f t="shared" si="6"/>
        <v>114.35454545454544</v>
      </c>
      <c r="Q25" s="1" t="s">
        <v>152</v>
      </c>
    </row>
    <row r="26" spans="1:19" ht="16.5" customHeight="1" x14ac:dyDescent="0.25">
      <c r="A26" s="26" t="s">
        <v>85</v>
      </c>
      <c r="B26" s="11" t="s">
        <v>158</v>
      </c>
      <c r="C26" s="27">
        <v>35</v>
      </c>
      <c r="D26" s="2">
        <f t="shared" si="2"/>
        <v>15.87575183024739</v>
      </c>
      <c r="E26" s="26" t="s">
        <v>28</v>
      </c>
      <c r="F26" s="26" t="s">
        <v>29</v>
      </c>
      <c r="G26" s="26" t="s">
        <v>30</v>
      </c>
      <c r="H26" s="35" t="s">
        <v>50</v>
      </c>
      <c r="I26" s="71">
        <v>0.38100000000000001</v>
      </c>
      <c r="J26" s="27">
        <v>3</v>
      </c>
      <c r="K26" s="2">
        <v>0</v>
      </c>
      <c r="L26" s="2">
        <f t="shared" si="8"/>
        <v>51.335000000000001</v>
      </c>
      <c r="M26" s="2">
        <f t="shared" si="4"/>
        <v>23.285192005878567</v>
      </c>
      <c r="N26" s="19"/>
      <c r="O26" s="2">
        <f t="shared" si="5"/>
        <v>51.335000000000001</v>
      </c>
      <c r="P26" s="2">
        <f t="shared" si="6"/>
        <v>23.334090909090907</v>
      </c>
    </row>
    <row r="27" spans="1:19" ht="17.25" customHeight="1" x14ac:dyDescent="0.25">
      <c r="A27" s="26" t="s">
        <v>86</v>
      </c>
      <c r="B27" s="11" t="s">
        <v>157</v>
      </c>
      <c r="C27" s="28">
        <v>11</v>
      </c>
      <c r="D27" s="2">
        <f t="shared" si="2"/>
        <v>4.9895220037920369</v>
      </c>
      <c r="E27" s="33" t="s">
        <v>87</v>
      </c>
      <c r="F27" s="26" t="s">
        <v>29</v>
      </c>
      <c r="G27" s="26" t="s">
        <v>30</v>
      </c>
      <c r="H27" s="35" t="s">
        <v>50</v>
      </c>
      <c r="I27" s="71">
        <v>0.38100000000000001</v>
      </c>
      <c r="J27" s="28">
        <v>1</v>
      </c>
      <c r="K27" s="2">
        <v>0</v>
      </c>
      <c r="L27" s="2">
        <f t="shared" si="8"/>
        <v>16.191000000000003</v>
      </c>
      <c r="M27" s="2">
        <f t="shared" si="4"/>
        <v>7.3441227966724441</v>
      </c>
      <c r="N27" s="4">
        <v>0.14499999999999999</v>
      </c>
      <c r="O27" s="2">
        <f t="shared" si="5"/>
        <v>18.93684210526316</v>
      </c>
      <c r="P27" s="2">
        <f t="shared" si="6"/>
        <v>8.6076555023923458</v>
      </c>
    </row>
    <row r="28" spans="1:19" ht="17.25" customHeight="1" x14ac:dyDescent="0.25">
      <c r="A28" s="11" t="s">
        <v>426</v>
      </c>
      <c r="B28" s="11" t="s">
        <v>427</v>
      </c>
      <c r="C28" s="39">
        <v>120</v>
      </c>
      <c r="D28" s="2">
        <f t="shared" si="2"/>
        <v>54.431149132276772</v>
      </c>
      <c r="E28" s="33" t="s">
        <v>110</v>
      </c>
      <c r="F28" s="11" t="s">
        <v>29</v>
      </c>
      <c r="G28" s="11" t="s">
        <v>30</v>
      </c>
      <c r="H28" s="35" t="s">
        <v>50</v>
      </c>
      <c r="I28" s="71">
        <v>0.38100000000000001</v>
      </c>
      <c r="J28" s="28">
        <v>2</v>
      </c>
      <c r="K28" s="2"/>
      <c r="L28" s="2">
        <f t="shared" si="8"/>
        <v>167.72</v>
      </c>
      <c r="M28" s="2">
        <f t="shared" si="4"/>
        <v>76.076602770545492</v>
      </c>
      <c r="N28" s="4"/>
      <c r="O28" s="2"/>
      <c r="P28" s="2"/>
    </row>
    <row r="29" spans="1:19" ht="18.75" customHeight="1" x14ac:dyDescent="0.25">
      <c r="A29" s="26" t="s">
        <v>88</v>
      </c>
      <c r="B29" s="11" t="s">
        <v>313</v>
      </c>
      <c r="C29" s="27">
        <v>17.23</v>
      </c>
      <c r="D29" s="2">
        <f t="shared" si="2"/>
        <v>7.8154058295760729</v>
      </c>
      <c r="E29" s="26" t="s">
        <v>89</v>
      </c>
      <c r="F29" s="26" t="s">
        <v>90</v>
      </c>
      <c r="G29" s="26" t="s">
        <v>91</v>
      </c>
      <c r="H29" s="32" t="s">
        <v>32</v>
      </c>
      <c r="I29" s="71"/>
      <c r="J29" s="27">
        <v>0.75</v>
      </c>
      <c r="K29" s="2">
        <v>0</v>
      </c>
      <c r="L29" s="2">
        <f t="shared" si="8"/>
        <v>17.98</v>
      </c>
      <c r="M29" s="2">
        <f t="shared" si="4"/>
        <v>8.1556005116528034</v>
      </c>
      <c r="N29" s="4">
        <v>0.14000000000000001</v>
      </c>
      <c r="O29" s="2">
        <f t="shared" si="5"/>
        <v>20.906976744186046</v>
      </c>
      <c r="P29" s="2">
        <f t="shared" si="6"/>
        <v>9.5031712473572938</v>
      </c>
    </row>
    <row r="30" spans="1:19" ht="15.75" customHeight="1" x14ac:dyDescent="0.25">
      <c r="A30" s="26" t="s">
        <v>92</v>
      </c>
      <c r="B30" s="11" t="s">
        <v>314</v>
      </c>
      <c r="C30" s="27">
        <v>15.55</v>
      </c>
      <c r="D30" s="2">
        <f>C30/2.20462</f>
        <v>7.0533697417241985</v>
      </c>
      <c r="E30" s="26" t="s">
        <v>89</v>
      </c>
      <c r="F30" s="26" t="s">
        <v>90</v>
      </c>
      <c r="G30" s="26" t="s">
        <v>91</v>
      </c>
      <c r="H30" s="32" t="s">
        <v>32</v>
      </c>
      <c r="I30" s="71"/>
      <c r="J30" s="27">
        <v>0.75</v>
      </c>
      <c r="K30" s="2">
        <v>0</v>
      </c>
      <c r="L30" s="2">
        <f>(C30*(1+I30))+J30</f>
        <v>16.3</v>
      </c>
      <c r="M30" s="2">
        <f t="shared" si="4"/>
        <v>7.3935644238009282</v>
      </c>
      <c r="N30" s="4">
        <v>0.2</v>
      </c>
      <c r="O30" s="2">
        <f t="shared" si="5"/>
        <v>20.375</v>
      </c>
      <c r="P30" s="2">
        <f t="shared" si="6"/>
        <v>9.2613636363636349</v>
      </c>
    </row>
    <row r="31" spans="1:19" ht="18.75" customHeight="1" x14ac:dyDescent="0.25">
      <c r="A31" s="26" t="s">
        <v>93</v>
      </c>
      <c r="B31" s="11" t="s">
        <v>93</v>
      </c>
      <c r="C31" s="29">
        <v>21.38</v>
      </c>
      <c r="D31" s="2">
        <f>C31/2.20462</f>
        <v>9.6978164037339774</v>
      </c>
      <c r="E31" s="26" t="s">
        <v>94</v>
      </c>
      <c r="F31" s="26" t="s">
        <v>95</v>
      </c>
      <c r="G31" s="26" t="s">
        <v>96</v>
      </c>
      <c r="H31" s="32" t="s">
        <v>97</v>
      </c>
      <c r="I31" s="71">
        <v>0.1</v>
      </c>
      <c r="J31" s="27">
        <v>2</v>
      </c>
      <c r="K31" s="2">
        <v>0</v>
      </c>
      <c r="L31" s="2">
        <f>(C31*(1+I31))+J31</f>
        <v>25.518000000000001</v>
      </c>
      <c r="M31" s="2">
        <f t="shared" si="4"/>
        <v>11.574783862978656</v>
      </c>
      <c r="N31" s="19"/>
      <c r="O31" s="2">
        <f t="shared" si="5"/>
        <v>25.518000000000001</v>
      </c>
      <c r="P31" s="2">
        <f t="shared" si="6"/>
        <v>11.599090909090908</v>
      </c>
      <c r="R31" s="20" t="s">
        <v>98</v>
      </c>
    </row>
    <row r="32" spans="1:19" ht="15.75" customHeight="1" x14ac:dyDescent="0.25">
      <c r="A32" s="26" t="s">
        <v>99</v>
      </c>
      <c r="B32" s="26" t="s">
        <v>99</v>
      </c>
      <c r="C32" s="29">
        <v>12.5</v>
      </c>
      <c r="D32" s="2">
        <f t="shared" si="2"/>
        <v>5.6699113679454971</v>
      </c>
      <c r="E32" s="26" t="s">
        <v>94</v>
      </c>
      <c r="F32" s="26" t="s">
        <v>95</v>
      </c>
      <c r="G32" s="26" t="s">
        <v>96</v>
      </c>
      <c r="H32" s="32" t="s">
        <v>97</v>
      </c>
      <c r="I32" s="71">
        <v>0.1</v>
      </c>
      <c r="J32" s="27">
        <v>2</v>
      </c>
      <c r="K32" s="2">
        <v>0</v>
      </c>
      <c r="L32" s="2">
        <f t="shared" si="8"/>
        <v>15.750000000000002</v>
      </c>
      <c r="M32" s="2">
        <f t="shared" si="4"/>
        <v>7.1440883236113271</v>
      </c>
      <c r="N32" s="19"/>
      <c r="O32" s="2">
        <f t="shared" si="5"/>
        <v>15.750000000000002</v>
      </c>
      <c r="P32" s="2">
        <f t="shared" si="6"/>
        <v>7.1590909090909092</v>
      </c>
    </row>
    <row r="33" spans="1:20" ht="15.75" customHeight="1" x14ac:dyDescent="0.25">
      <c r="A33" s="26" t="s">
        <v>100</v>
      </c>
      <c r="B33" s="26" t="s">
        <v>100</v>
      </c>
      <c r="C33" s="29">
        <v>41.04</v>
      </c>
      <c r="D33" s="2">
        <f t="shared" si="2"/>
        <v>18.615453003238656</v>
      </c>
      <c r="E33" s="26" t="s">
        <v>94</v>
      </c>
      <c r="F33" s="26" t="s">
        <v>95</v>
      </c>
      <c r="G33" s="26" t="s">
        <v>96</v>
      </c>
      <c r="H33" s="36" t="s">
        <v>97</v>
      </c>
      <c r="I33" s="71">
        <v>0.1</v>
      </c>
      <c r="J33" s="27">
        <v>2</v>
      </c>
      <c r="K33" s="2">
        <v>0</v>
      </c>
      <c r="L33" s="2">
        <f t="shared" si="8"/>
        <v>47.144000000000005</v>
      </c>
      <c r="M33" s="2">
        <f t="shared" si="4"/>
        <v>21.384184122433801</v>
      </c>
      <c r="N33" s="4">
        <v>0.3</v>
      </c>
      <c r="O33" s="2">
        <f t="shared" si="5"/>
        <v>67.348571428571447</v>
      </c>
      <c r="P33" s="2">
        <f t="shared" si="6"/>
        <v>30.61298701298702</v>
      </c>
    </row>
    <row r="34" spans="1:20" ht="15.75" customHeight="1" x14ac:dyDescent="0.25">
      <c r="A34" s="26" t="s">
        <v>101</v>
      </c>
      <c r="B34" s="26" t="s">
        <v>101</v>
      </c>
      <c r="C34" s="29">
        <v>18.36</v>
      </c>
      <c r="D34" s="2">
        <f t="shared" si="2"/>
        <v>8.3279658172383453</v>
      </c>
      <c r="E34" s="26" t="s">
        <v>94</v>
      </c>
      <c r="F34" s="26" t="s">
        <v>95</v>
      </c>
      <c r="G34" s="26" t="s">
        <v>96</v>
      </c>
      <c r="H34" s="36" t="s">
        <v>97</v>
      </c>
      <c r="I34" s="71">
        <v>0.1</v>
      </c>
      <c r="J34" s="27">
        <v>2</v>
      </c>
      <c r="K34" s="2">
        <v>0</v>
      </c>
      <c r="L34" s="23">
        <f t="shared" si="8"/>
        <v>22.196000000000002</v>
      </c>
      <c r="M34" s="2">
        <f t="shared" si="4"/>
        <v>10.067948217833461</v>
      </c>
      <c r="N34" s="19"/>
      <c r="O34" s="2">
        <f t="shared" si="5"/>
        <v>22.196000000000002</v>
      </c>
      <c r="P34" s="2">
        <f t="shared" si="6"/>
        <v>10.08909090909091</v>
      </c>
    </row>
    <row r="35" spans="1:20" ht="15.75" customHeight="1" x14ac:dyDescent="0.25">
      <c r="A35" s="26" t="s">
        <v>102</v>
      </c>
      <c r="B35" s="11" t="s">
        <v>103</v>
      </c>
      <c r="C35" s="30">
        <v>13.64</v>
      </c>
      <c r="D35" s="2">
        <f t="shared" si="2"/>
        <v>6.1870072847021262</v>
      </c>
      <c r="E35" s="33" t="s">
        <v>49</v>
      </c>
      <c r="F35" s="26" t="s">
        <v>95</v>
      </c>
      <c r="G35" s="26" t="s">
        <v>96</v>
      </c>
      <c r="H35" s="36" t="s">
        <v>97</v>
      </c>
      <c r="I35" s="71">
        <v>0.1</v>
      </c>
      <c r="J35" s="27">
        <v>2</v>
      </c>
      <c r="K35" s="2">
        <v>0</v>
      </c>
      <c r="L35" s="2">
        <f t="shared" si="8"/>
        <v>17.004000000000001</v>
      </c>
      <c r="M35" s="2">
        <f t="shared" si="4"/>
        <v>7.7128938320436191</v>
      </c>
      <c r="N35" s="4">
        <v>0.4</v>
      </c>
      <c r="O35" s="2">
        <f t="shared" si="5"/>
        <v>28.340000000000003</v>
      </c>
      <c r="P35" s="2">
        <f t="shared" si="6"/>
        <v>12.881818181818183</v>
      </c>
      <c r="T35" s="1" t="s">
        <v>104</v>
      </c>
    </row>
    <row r="36" spans="1:20" ht="15.75" customHeight="1" x14ac:dyDescent="0.25">
      <c r="A36" s="26" t="s">
        <v>105</v>
      </c>
      <c r="B36" s="26" t="s">
        <v>105</v>
      </c>
      <c r="C36" s="29">
        <v>15</v>
      </c>
      <c r="D36" s="2">
        <f t="shared" si="2"/>
        <v>6.8038936415345965</v>
      </c>
      <c r="E36" s="26" t="s">
        <v>78</v>
      </c>
      <c r="F36" s="26" t="s">
        <v>29</v>
      </c>
      <c r="G36" s="26" t="s">
        <v>79</v>
      </c>
      <c r="H36" s="70" t="s">
        <v>97</v>
      </c>
      <c r="I36" s="71">
        <v>0.62</v>
      </c>
      <c r="J36" s="27">
        <v>2</v>
      </c>
      <c r="K36" s="2">
        <v>0</v>
      </c>
      <c r="L36" s="2">
        <f t="shared" si="8"/>
        <v>26.3</v>
      </c>
      <c r="M36" s="2">
        <f t="shared" si="4"/>
        <v>11.929493518157326</v>
      </c>
      <c r="N36" s="19"/>
      <c r="O36" s="2">
        <f t="shared" si="5"/>
        <v>26.3</v>
      </c>
      <c r="P36" s="2">
        <f t="shared" si="6"/>
        <v>11.954545454545453</v>
      </c>
    </row>
    <row r="37" spans="1:20" ht="15.75" customHeight="1" x14ac:dyDescent="0.25">
      <c r="A37" s="26" t="s">
        <v>106</v>
      </c>
      <c r="B37" s="26" t="s">
        <v>106</v>
      </c>
      <c r="C37" s="29">
        <v>25</v>
      </c>
      <c r="D37" s="2">
        <f t="shared" si="2"/>
        <v>11.339822735890994</v>
      </c>
      <c r="E37" s="26" t="s">
        <v>78</v>
      </c>
      <c r="F37" s="26" t="s">
        <v>29</v>
      </c>
      <c r="G37" s="26" t="s">
        <v>79</v>
      </c>
      <c r="H37" s="70" t="s">
        <v>97</v>
      </c>
      <c r="I37" s="71">
        <v>0.62</v>
      </c>
      <c r="J37" s="27">
        <v>2</v>
      </c>
      <c r="K37" s="2">
        <v>0</v>
      </c>
      <c r="L37" s="2">
        <f t="shared" si="8"/>
        <v>42.5</v>
      </c>
      <c r="M37" s="2">
        <f t="shared" si="4"/>
        <v>19.277698651014688</v>
      </c>
      <c r="N37" s="4">
        <v>0.3</v>
      </c>
      <c r="O37" s="2">
        <f t="shared" si="5"/>
        <v>60.714285714285715</v>
      </c>
      <c r="P37" s="2">
        <f t="shared" si="6"/>
        <v>27.597402597402596</v>
      </c>
    </row>
    <row r="38" spans="1:20" ht="15.75" customHeight="1" x14ac:dyDescent="0.25">
      <c r="A38" s="26" t="s">
        <v>107</v>
      </c>
      <c r="B38" s="26" t="s">
        <v>107</v>
      </c>
      <c r="C38" s="29">
        <v>29</v>
      </c>
      <c r="D38" s="2">
        <f t="shared" si="2"/>
        <v>13.154194373633553</v>
      </c>
      <c r="E38" s="26" t="s">
        <v>78</v>
      </c>
      <c r="F38" s="26" t="s">
        <v>29</v>
      </c>
      <c r="G38" s="26" t="s">
        <v>79</v>
      </c>
      <c r="H38" s="70" t="s">
        <v>97</v>
      </c>
      <c r="I38" s="71">
        <v>0.62</v>
      </c>
      <c r="J38" s="27">
        <v>2</v>
      </c>
      <c r="K38" s="2">
        <v>0</v>
      </c>
      <c r="L38" s="2">
        <f t="shared" si="8"/>
        <v>48.980000000000004</v>
      </c>
      <c r="M38" s="2">
        <f t="shared" si="4"/>
        <v>22.216980704157635</v>
      </c>
      <c r="N38" s="19"/>
      <c r="O38" s="2">
        <f t="shared" si="5"/>
        <v>48.980000000000004</v>
      </c>
      <c r="P38" s="2">
        <f t="shared" si="6"/>
        <v>22.263636363636362</v>
      </c>
    </row>
    <row r="39" spans="1:20" ht="15.75" customHeight="1" x14ac:dyDescent="0.25">
      <c r="A39" s="26" t="s">
        <v>108</v>
      </c>
      <c r="B39" s="26" t="s">
        <v>108</v>
      </c>
      <c r="C39" s="29">
        <v>32</v>
      </c>
      <c r="D39" s="2">
        <f t="shared" si="2"/>
        <v>14.514973101940472</v>
      </c>
      <c r="E39" s="26" t="s">
        <v>78</v>
      </c>
      <c r="F39" s="26" t="s">
        <v>29</v>
      </c>
      <c r="G39" s="26" t="s">
        <v>79</v>
      </c>
      <c r="H39" s="70" t="s">
        <v>97</v>
      </c>
      <c r="I39" s="71">
        <v>0.62</v>
      </c>
      <c r="J39" s="27">
        <v>2</v>
      </c>
      <c r="K39" s="2">
        <v>0</v>
      </c>
      <c r="L39" s="23">
        <f t="shared" si="8"/>
        <v>53.84</v>
      </c>
      <c r="M39" s="2">
        <f t="shared" si="4"/>
        <v>24.421442244014845</v>
      </c>
      <c r="N39" s="19"/>
      <c r="O39" s="2">
        <f t="shared" si="5"/>
        <v>53.84</v>
      </c>
      <c r="P39" s="2">
        <f t="shared" si="6"/>
        <v>24.472727272727273</v>
      </c>
    </row>
    <row r="40" spans="1:20" ht="15.75" customHeight="1" x14ac:dyDescent="0.25">
      <c r="A40" s="26" t="s">
        <v>109</v>
      </c>
      <c r="B40" s="11" t="s">
        <v>315</v>
      </c>
      <c r="C40" s="27">
        <v>180</v>
      </c>
      <c r="D40" s="2">
        <f t="shared" si="2"/>
        <v>81.646723698415158</v>
      </c>
      <c r="E40" s="26" t="s">
        <v>110</v>
      </c>
      <c r="F40" s="26" t="s">
        <v>29</v>
      </c>
      <c r="G40" s="26" t="s">
        <v>30</v>
      </c>
      <c r="H40" s="36" t="s">
        <v>50</v>
      </c>
      <c r="I40" s="71">
        <v>0.48</v>
      </c>
      <c r="J40" s="27">
        <v>3</v>
      </c>
      <c r="K40" s="2">
        <v>0</v>
      </c>
      <c r="L40" s="2">
        <f t="shared" si="8"/>
        <v>269.39999999999998</v>
      </c>
      <c r="M40" s="2">
        <f t="shared" si="4"/>
        <v>122.19792980196134</v>
      </c>
      <c r="N40" s="19"/>
      <c r="O40" s="2">
        <f t="shared" si="5"/>
        <v>269.39999999999998</v>
      </c>
      <c r="P40" s="2">
        <f t="shared" si="6"/>
        <v>122.45454545454544</v>
      </c>
      <c r="Q40" s="24">
        <v>0.98</v>
      </c>
    </row>
    <row r="41" spans="1:20" ht="15.75" customHeight="1" x14ac:dyDescent="0.25">
      <c r="A41" s="26" t="s">
        <v>111</v>
      </c>
      <c r="B41" s="11" t="s">
        <v>316</v>
      </c>
      <c r="C41" s="27">
        <v>2.7</v>
      </c>
      <c r="D41" s="2">
        <f t="shared" si="2"/>
        <v>1.2247008554762273</v>
      </c>
      <c r="E41" s="26" t="s">
        <v>112</v>
      </c>
      <c r="F41" s="26" t="s">
        <v>29</v>
      </c>
      <c r="G41" s="26" t="s">
        <v>79</v>
      </c>
      <c r="H41" s="36">
        <v>28230000</v>
      </c>
      <c r="I41" s="71">
        <v>0.3</v>
      </c>
      <c r="J41" s="27">
        <v>1</v>
      </c>
      <c r="K41" s="2">
        <v>0</v>
      </c>
      <c r="L41" s="2">
        <f t="shared" si="8"/>
        <v>4.51</v>
      </c>
      <c r="M41" s="2">
        <f t="shared" si="4"/>
        <v>2.0457040215547351</v>
      </c>
      <c r="N41" s="19">
        <v>0.2</v>
      </c>
      <c r="O41" s="2">
        <f t="shared" si="5"/>
        <v>5.6374999999999993</v>
      </c>
      <c r="P41" s="2">
        <f t="shared" si="6"/>
        <v>2.5624999999999996</v>
      </c>
    </row>
    <row r="42" spans="1:20" ht="15.75" customHeight="1" x14ac:dyDescent="0.25">
      <c r="A42" s="26" t="s">
        <v>113</v>
      </c>
      <c r="B42" s="11" t="s">
        <v>305</v>
      </c>
      <c r="C42" s="28">
        <v>150</v>
      </c>
      <c r="D42" s="2">
        <f t="shared" si="2"/>
        <v>68.038936415345958</v>
      </c>
      <c r="E42" s="33" t="s">
        <v>110</v>
      </c>
      <c r="F42" s="33" t="s">
        <v>29</v>
      </c>
      <c r="G42" s="33" t="s">
        <v>30</v>
      </c>
      <c r="H42" s="32" t="s">
        <v>31</v>
      </c>
      <c r="I42" s="71">
        <v>0.38100000000000001</v>
      </c>
      <c r="J42" s="28">
        <v>4</v>
      </c>
      <c r="K42" s="2">
        <v>0</v>
      </c>
      <c r="L42" s="2">
        <f t="shared" si="8"/>
        <v>211.15</v>
      </c>
      <c r="M42" s="2">
        <f t="shared" si="4"/>
        <v>95.776142827335335</v>
      </c>
      <c r="N42" s="4">
        <v>0.25</v>
      </c>
      <c r="O42" s="2">
        <f t="shared" si="5"/>
        <v>281.53333333333336</v>
      </c>
      <c r="P42" s="2">
        <f t="shared" si="6"/>
        <v>127.96969696969697</v>
      </c>
    </row>
    <row r="43" spans="1:20" ht="15.75" customHeight="1" x14ac:dyDescent="0.25">
      <c r="A43" s="26" t="s">
        <v>114</v>
      </c>
      <c r="B43" s="11" t="s">
        <v>305</v>
      </c>
      <c r="C43" s="28">
        <v>60</v>
      </c>
      <c r="D43" s="2">
        <f t="shared" si="2"/>
        <v>27.215574566138386</v>
      </c>
      <c r="E43" s="33" t="s">
        <v>110</v>
      </c>
      <c r="F43" s="33" t="s">
        <v>29</v>
      </c>
      <c r="G43" s="33" t="s">
        <v>30</v>
      </c>
      <c r="H43" s="32" t="s">
        <v>31</v>
      </c>
      <c r="I43" s="71">
        <v>0.38100000000000001</v>
      </c>
      <c r="J43" s="28">
        <v>4</v>
      </c>
      <c r="K43" s="2">
        <v>0</v>
      </c>
      <c r="L43" s="2">
        <f t="shared" si="8"/>
        <v>86.86</v>
      </c>
      <c r="M43" s="2">
        <f t="shared" si="4"/>
        <v>39.399080113579664</v>
      </c>
      <c r="N43" s="4">
        <v>0.25</v>
      </c>
      <c r="O43" s="2">
        <f t="shared" si="5"/>
        <v>115.81333333333333</v>
      </c>
      <c r="P43" s="2">
        <f t="shared" si="6"/>
        <v>52.642424242424241</v>
      </c>
    </row>
    <row r="44" spans="1:20" ht="15.75" customHeight="1" x14ac:dyDescent="0.25">
      <c r="A44" s="26" t="s">
        <v>115</v>
      </c>
      <c r="B44" s="26" t="s">
        <v>159</v>
      </c>
      <c r="C44" s="28">
        <v>55</v>
      </c>
      <c r="D44" s="2">
        <f t="shared" si="2"/>
        <v>24.947610018960187</v>
      </c>
      <c r="E44" s="33" t="s">
        <v>116</v>
      </c>
      <c r="F44" s="33" t="s">
        <v>29</v>
      </c>
      <c r="G44" s="33" t="s">
        <v>30</v>
      </c>
      <c r="H44" s="36" t="s">
        <v>31</v>
      </c>
      <c r="I44" s="71">
        <v>0.38100000000000001</v>
      </c>
      <c r="J44" s="28">
        <v>1</v>
      </c>
      <c r="K44" s="2">
        <v>0</v>
      </c>
      <c r="L44" s="2">
        <f t="shared" si="8"/>
        <v>76.954999999999998</v>
      </c>
      <c r="M44" s="2">
        <f t="shared" si="4"/>
        <v>34.906242345619653</v>
      </c>
      <c r="N44" s="4">
        <v>0.22</v>
      </c>
      <c r="O44" s="2">
        <f t="shared" si="5"/>
        <v>98.660256410256409</v>
      </c>
      <c r="P44" s="2">
        <f t="shared" si="6"/>
        <v>44.845571095571088</v>
      </c>
    </row>
    <row r="45" spans="1:20" ht="15.75" customHeight="1" x14ac:dyDescent="0.25">
      <c r="A45" s="26" t="s">
        <v>115</v>
      </c>
      <c r="B45" s="11" t="s">
        <v>317</v>
      </c>
      <c r="C45" s="27">
        <v>85</v>
      </c>
      <c r="D45" s="2">
        <f t="shared" si="2"/>
        <v>38.555397302029377</v>
      </c>
      <c r="E45" s="26" t="s">
        <v>117</v>
      </c>
      <c r="F45" s="33" t="s">
        <v>32</v>
      </c>
      <c r="G45" s="33" t="s">
        <v>2</v>
      </c>
      <c r="H45" s="32" t="s">
        <v>32</v>
      </c>
      <c r="I45" s="71">
        <v>0</v>
      </c>
      <c r="J45" s="27">
        <v>1</v>
      </c>
      <c r="K45" s="2">
        <v>0</v>
      </c>
      <c r="L45" s="2">
        <f t="shared" si="8"/>
        <v>86</v>
      </c>
      <c r="M45" s="2">
        <f t="shared" si="4"/>
        <v>39.008990211465019</v>
      </c>
      <c r="N45" s="4">
        <v>0.3</v>
      </c>
      <c r="O45" s="2">
        <f t="shared" si="5"/>
        <v>122.85714285714286</v>
      </c>
      <c r="P45" s="2">
        <f t="shared" si="6"/>
        <v>55.844155844155843</v>
      </c>
    </row>
    <row r="46" spans="1:20" ht="15.75" customHeight="1" x14ac:dyDescent="0.25">
      <c r="A46" s="26" t="s">
        <v>118</v>
      </c>
      <c r="B46" s="11" t="s">
        <v>305</v>
      </c>
      <c r="C46" s="27">
        <v>15.8</v>
      </c>
      <c r="D46" s="2">
        <f t="shared" si="2"/>
        <v>7.1667679690831081</v>
      </c>
      <c r="E46" s="11"/>
      <c r="F46" s="33" t="s">
        <v>32</v>
      </c>
      <c r="G46" s="11"/>
      <c r="H46" s="32" t="s">
        <v>32</v>
      </c>
      <c r="I46" s="72"/>
      <c r="J46" s="27"/>
      <c r="K46" s="2">
        <v>0</v>
      </c>
      <c r="L46" s="2">
        <f t="shared" si="8"/>
        <v>15.8</v>
      </c>
      <c r="M46" s="2">
        <f t="shared" si="4"/>
        <v>7.1667679690831081</v>
      </c>
      <c r="N46" s="19"/>
      <c r="O46" s="2">
        <f t="shared" si="5"/>
        <v>15.8</v>
      </c>
      <c r="P46" s="2">
        <f t="shared" si="6"/>
        <v>7.1818181818181817</v>
      </c>
    </row>
    <row r="47" spans="1:20" ht="15.75" customHeight="1" x14ac:dyDescent="0.25">
      <c r="A47" s="26" t="s">
        <v>119</v>
      </c>
      <c r="B47" s="11" t="s">
        <v>305</v>
      </c>
      <c r="C47" s="28">
        <v>1.8</v>
      </c>
      <c r="D47" s="2">
        <f t="shared" si="2"/>
        <v>0.81646723698415158</v>
      </c>
      <c r="E47" s="33" t="s">
        <v>28</v>
      </c>
      <c r="F47" s="33" t="s">
        <v>61</v>
      </c>
      <c r="G47" s="33" t="s">
        <v>120</v>
      </c>
      <c r="H47" s="94" t="s">
        <v>121</v>
      </c>
      <c r="I47" s="71">
        <v>0.55100000000000005</v>
      </c>
      <c r="J47" s="28">
        <v>0.75</v>
      </c>
      <c r="K47" s="2">
        <v>0</v>
      </c>
      <c r="L47" s="2">
        <f t="shared" si="8"/>
        <v>3.5418000000000003</v>
      </c>
      <c r="M47" s="2">
        <f t="shared" si="4"/>
        <v>1.6065353666391489</v>
      </c>
      <c r="N47" s="4">
        <v>0.2</v>
      </c>
      <c r="O47" s="2">
        <f t="shared" si="5"/>
        <v>4.4272499999999999</v>
      </c>
      <c r="P47" s="2">
        <f t="shared" si="6"/>
        <v>2.0123863636363635</v>
      </c>
    </row>
    <row r="48" spans="1:20" ht="15.75" customHeight="1" x14ac:dyDescent="0.25">
      <c r="A48" s="26" t="s">
        <v>122</v>
      </c>
      <c r="B48" s="11" t="s">
        <v>305</v>
      </c>
      <c r="C48" s="28">
        <v>1.0900000000000001</v>
      </c>
      <c r="D48" s="2">
        <f t="shared" si="2"/>
        <v>0.49441627128484733</v>
      </c>
      <c r="E48" s="33" t="s">
        <v>28</v>
      </c>
      <c r="F48" s="33" t="s">
        <v>61</v>
      </c>
      <c r="G48" s="33" t="s">
        <v>120</v>
      </c>
      <c r="H48" s="94" t="s">
        <v>121</v>
      </c>
      <c r="I48" s="71">
        <v>0.55100000000000005</v>
      </c>
      <c r="J48" s="28">
        <v>0.75</v>
      </c>
      <c r="K48" s="2">
        <v>0</v>
      </c>
      <c r="L48" s="2">
        <f t="shared" si="8"/>
        <v>2.4405900000000003</v>
      </c>
      <c r="M48" s="2">
        <f t="shared" si="4"/>
        <v>1.1070343188395282</v>
      </c>
      <c r="N48" s="4">
        <v>0.3</v>
      </c>
      <c r="O48" s="2">
        <f t="shared" si="5"/>
        <v>3.4865571428571434</v>
      </c>
      <c r="P48" s="2">
        <f t="shared" si="6"/>
        <v>1.5847987012987015</v>
      </c>
      <c r="T48" s="3" t="s">
        <v>123</v>
      </c>
    </row>
    <row r="49" spans="1:20" ht="15.75" customHeight="1" x14ac:dyDescent="0.25">
      <c r="A49" s="26" t="s">
        <v>124</v>
      </c>
      <c r="B49" s="11" t="s">
        <v>318</v>
      </c>
      <c r="C49" s="28">
        <v>1</v>
      </c>
      <c r="D49" s="2">
        <f t="shared" si="2"/>
        <v>0.45359290943563974</v>
      </c>
      <c r="E49" s="33" t="s">
        <v>28</v>
      </c>
      <c r="F49" s="33" t="s">
        <v>61</v>
      </c>
      <c r="G49" s="33" t="s">
        <v>120</v>
      </c>
      <c r="H49" s="94" t="s">
        <v>121</v>
      </c>
      <c r="I49" s="71">
        <v>0.55000000000000004</v>
      </c>
      <c r="J49" s="28">
        <v>0.75</v>
      </c>
      <c r="K49" s="2">
        <v>0</v>
      </c>
      <c r="L49" s="2">
        <f t="shared" si="8"/>
        <v>2.2999999999999998</v>
      </c>
      <c r="M49" s="2">
        <f t="shared" si="4"/>
        <v>1.0432636917019713</v>
      </c>
      <c r="N49" s="4">
        <v>0.3</v>
      </c>
      <c r="O49" s="2">
        <f t="shared" si="5"/>
        <v>3.2857142857142856</v>
      </c>
      <c r="P49" s="2">
        <f t="shared" si="6"/>
        <v>1.4935064935064932</v>
      </c>
      <c r="T49" s="3" t="s">
        <v>125</v>
      </c>
    </row>
    <row r="50" spans="1:20" ht="15.75" customHeight="1" x14ac:dyDescent="0.25">
      <c r="A50" s="26" t="s">
        <v>126</v>
      </c>
      <c r="B50" s="11" t="s">
        <v>321</v>
      </c>
      <c r="C50" s="28">
        <v>12.8</v>
      </c>
      <c r="D50" s="2">
        <f t="shared" si="2"/>
        <v>5.8059892407761886</v>
      </c>
      <c r="E50" s="33" t="s">
        <v>127</v>
      </c>
      <c r="F50" s="33" t="s">
        <v>61</v>
      </c>
      <c r="G50" s="33" t="s">
        <v>128</v>
      </c>
      <c r="H50" s="34" t="s">
        <v>50</v>
      </c>
      <c r="I50" s="71">
        <v>3.1E-2</v>
      </c>
      <c r="J50" s="28">
        <v>4</v>
      </c>
      <c r="K50" s="2">
        <v>0</v>
      </c>
      <c r="L50" s="2">
        <f t="shared" si="8"/>
        <v>17.1968</v>
      </c>
      <c r="M50" s="2">
        <f t="shared" si="4"/>
        <v>7.8003465449828093</v>
      </c>
      <c r="N50" s="4">
        <v>0.3</v>
      </c>
      <c r="O50" s="2">
        <f t="shared" si="5"/>
        <v>24.566857142857145</v>
      </c>
      <c r="P50" s="2">
        <f t="shared" si="6"/>
        <v>11.166753246753247</v>
      </c>
    </row>
    <row r="51" spans="1:20" ht="15.75" customHeight="1" x14ac:dyDescent="0.25">
      <c r="A51" s="11" t="s">
        <v>436</v>
      </c>
      <c r="B51" s="11" t="s">
        <v>435</v>
      </c>
      <c r="C51" s="28">
        <v>9.3000000000000007</v>
      </c>
      <c r="D51" s="2">
        <f t="shared" si="2"/>
        <v>4.21841405775145</v>
      </c>
      <c r="E51" s="33" t="s">
        <v>390</v>
      </c>
      <c r="F51" s="33" t="s">
        <v>61</v>
      </c>
      <c r="G51" s="33" t="s">
        <v>391</v>
      </c>
      <c r="H51" s="34" t="s">
        <v>50</v>
      </c>
      <c r="I51" s="71">
        <v>0</v>
      </c>
      <c r="J51" s="28">
        <v>1</v>
      </c>
      <c r="K51" s="2"/>
      <c r="L51" s="2">
        <f t="shared" si="8"/>
        <v>10.3</v>
      </c>
      <c r="M51" s="2">
        <f t="shared" si="4"/>
        <v>4.6720069671870901</v>
      </c>
      <c r="N51" s="4"/>
      <c r="O51" s="2"/>
      <c r="P51" s="2"/>
    </row>
    <row r="52" spans="1:20" ht="15.75" customHeight="1" x14ac:dyDescent="0.25">
      <c r="A52" s="26" t="s">
        <v>129</v>
      </c>
      <c r="B52" s="11" t="s">
        <v>320</v>
      </c>
      <c r="C52" s="28">
        <v>87.7</v>
      </c>
      <c r="D52" s="2">
        <f t="shared" si="2"/>
        <v>39.780098157505606</v>
      </c>
      <c r="E52" s="33" t="s">
        <v>127</v>
      </c>
      <c r="F52" s="33" t="s">
        <v>61</v>
      </c>
      <c r="G52" s="33" t="s">
        <v>128</v>
      </c>
      <c r="H52" s="34" t="s">
        <v>50</v>
      </c>
      <c r="I52" s="71">
        <v>3.1E-2</v>
      </c>
      <c r="J52" s="28">
        <v>4</v>
      </c>
      <c r="K52" s="2">
        <v>0</v>
      </c>
      <c r="L52" s="2">
        <f t="shared" si="8"/>
        <v>94.418700000000001</v>
      </c>
      <c r="M52" s="2">
        <f t="shared" si="4"/>
        <v>42.827652838130838</v>
      </c>
      <c r="N52" s="4">
        <v>0.4</v>
      </c>
      <c r="O52" s="2">
        <f t="shared" si="5"/>
        <v>157.36450000000002</v>
      </c>
      <c r="P52" s="2">
        <f t="shared" si="6"/>
        <v>71.529318181818184</v>
      </c>
    </row>
    <row r="53" spans="1:20" ht="15.75" customHeight="1" x14ac:dyDescent="0.25">
      <c r="A53" s="26" t="s">
        <v>388</v>
      </c>
      <c r="B53" s="11" t="s">
        <v>389</v>
      </c>
      <c r="C53" s="28">
        <v>20.5</v>
      </c>
      <c r="D53" s="2">
        <f t="shared" si="2"/>
        <v>9.2986546434306145</v>
      </c>
      <c r="E53" s="33" t="s">
        <v>390</v>
      </c>
      <c r="F53" s="33" t="s">
        <v>61</v>
      </c>
      <c r="G53" s="33" t="s">
        <v>391</v>
      </c>
      <c r="H53" s="34" t="s">
        <v>50</v>
      </c>
      <c r="I53" s="71">
        <v>3.1E-2</v>
      </c>
      <c r="J53" s="28">
        <v>3</v>
      </c>
      <c r="K53" s="2"/>
      <c r="L53" s="2">
        <f t="shared" si="8"/>
        <v>24.135499999999997</v>
      </c>
      <c r="M53" s="2">
        <f t="shared" si="4"/>
        <v>10.947691665683882</v>
      </c>
      <c r="N53" s="4"/>
      <c r="O53" s="2"/>
      <c r="P53" s="2"/>
    </row>
    <row r="54" spans="1:20" ht="15.75" customHeight="1" x14ac:dyDescent="0.25">
      <c r="A54" s="26" t="s">
        <v>130</v>
      </c>
      <c r="B54" s="11" t="s">
        <v>319</v>
      </c>
      <c r="C54" s="28">
        <v>12.7</v>
      </c>
      <c r="D54" s="2">
        <f t="shared" si="2"/>
        <v>5.7606299498326248</v>
      </c>
      <c r="E54" s="33" t="s">
        <v>127</v>
      </c>
      <c r="F54" s="33" t="s">
        <v>61</v>
      </c>
      <c r="G54" s="33" t="s">
        <v>128</v>
      </c>
      <c r="H54" s="35" t="s">
        <v>50</v>
      </c>
      <c r="I54" s="71">
        <v>3.1E-2</v>
      </c>
      <c r="J54" s="28">
        <v>4</v>
      </c>
      <c r="K54" s="2">
        <v>0</v>
      </c>
      <c r="L54" s="2">
        <f t="shared" si="8"/>
        <v>17.093699999999998</v>
      </c>
      <c r="M54" s="2">
        <f t="shared" si="4"/>
        <v>7.7535811160199941</v>
      </c>
      <c r="N54" s="4">
        <v>0.5</v>
      </c>
      <c r="O54" s="2">
        <f t="shared" si="5"/>
        <v>34.187399999999997</v>
      </c>
      <c r="P54" s="2">
        <f t="shared" si="6"/>
        <v>15.539727272727269</v>
      </c>
    </row>
    <row r="55" spans="1:20" ht="15.75" customHeight="1" x14ac:dyDescent="0.25">
      <c r="A55" s="11" t="s">
        <v>131</v>
      </c>
      <c r="B55" s="11" t="s">
        <v>322</v>
      </c>
      <c r="C55" s="28">
        <v>31.5</v>
      </c>
      <c r="D55" s="2">
        <f t="shared" si="2"/>
        <v>14.288176647222652</v>
      </c>
      <c r="E55" s="33" t="s">
        <v>132</v>
      </c>
      <c r="F55" s="33" t="s">
        <v>133</v>
      </c>
      <c r="G55" s="33" t="s">
        <v>134</v>
      </c>
      <c r="H55" s="38"/>
      <c r="I55" s="71">
        <v>0.15</v>
      </c>
      <c r="J55" s="28">
        <v>1.5</v>
      </c>
      <c r="K55" s="2">
        <v>0</v>
      </c>
      <c r="L55" s="2">
        <f t="shared" si="8"/>
        <v>37.724999999999994</v>
      </c>
      <c r="M55" s="2">
        <f t="shared" si="4"/>
        <v>17.111792508459505</v>
      </c>
      <c r="N55" s="4">
        <v>0.3</v>
      </c>
      <c r="O55" s="2">
        <f t="shared" si="5"/>
        <v>53.892857142857139</v>
      </c>
      <c r="P55" s="2">
        <f t="shared" si="6"/>
        <v>24.496753246753244</v>
      </c>
    </row>
    <row r="56" spans="1:20" ht="15.75" customHeight="1" x14ac:dyDescent="0.25">
      <c r="A56" s="26" t="s">
        <v>135</v>
      </c>
      <c r="B56" s="11" t="s">
        <v>323</v>
      </c>
      <c r="C56" s="28">
        <v>36.450000000000003</v>
      </c>
      <c r="D56" s="2">
        <f t="shared" si="2"/>
        <v>16.533461548929068</v>
      </c>
      <c r="E56" s="33" t="s">
        <v>132</v>
      </c>
      <c r="F56" s="33" t="s">
        <v>133</v>
      </c>
      <c r="G56" s="33" t="s">
        <v>134</v>
      </c>
      <c r="H56" s="38"/>
      <c r="I56" s="71">
        <v>0.15</v>
      </c>
      <c r="J56" s="28">
        <v>1.5</v>
      </c>
      <c r="K56" s="2">
        <v>0</v>
      </c>
      <c r="L56" s="2">
        <f t="shared" si="8"/>
        <v>43.417499999999997</v>
      </c>
      <c r="M56" s="2">
        <f t="shared" si="4"/>
        <v>19.693870145421887</v>
      </c>
      <c r="N56" s="4">
        <v>0.3</v>
      </c>
      <c r="O56" s="2">
        <f t="shared" si="5"/>
        <v>62.024999999999999</v>
      </c>
      <c r="P56" s="2">
        <f t="shared" si="6"/>
        <v>28.193181818181817</v>
      </c>
    </row>
    <row r="57" spans="1:20" ht="15.75" customHeight="1" x14ac:dyDescent="0.25">
      <c r="A57" s="26" t="s">
        <v>153</v>
      </c>
      <c r="B57" s="11" t="s">
        <v>305</v>
      </c>
      <c r="C57" s="31">
        <v>21</v>
      </c>
      <c r="D57" s="2">
        <f t="shared" si="2"/>
        <v>9.5254510981484337</v>
      </c>
      <c r="E57" s="11"/>
      <c r="F57" s="11"/>
      <c r="G57" s="11"/>
      <c r="H57" s="38"/>
      <c r="I57" s="73">
        <v>0.48</v>
      </c>
      <c r="J57" s="39"/>
      <c r="K57" s="2">
        <v>0</v>
      </c>
      <c r="L57" s="2">
        <f t="shared" si="8"/>
        <v>31.08</v>
      </c>
      <c r="M57" s="2">
        <f t="shared" si="4"/>
        <v>14.097667625259682</v>
      </c>
      <c r="N57" s="4">
        <v>0</v>
      </c>
      <c r="O57" s="2">
        <f t="shared" si="5"/>
        <v>31.08</v>
      </c>
      <c r="P57" s="2">
        <f t="shared" si="6"/>
        <v>14.127272727272725</v>
      </c>
    </row>
    <row r="58" spans="1:20" ht="15.75" customHeight="1" x14ac:dyDescent="0.25">
      <c r="A58" s="11" t="s">
        <v>202</v>
      </c>
      <c r="B58" s="11" t="s">
        <v>203</v>
      </c>
      <c r="C58" s="39">
        <v>80</v>
      </c>
      <c r="D58" s="2">
        <f t="shared" si="2"/>
        <v>36.287432754851181</v>
      </c>
      <c r="E58" s="11" t="s">
        <v>110</v>
      </c>
      <c r="F58" s="11" t="s">
        <v>29</v>
      </c>
      <c r="G58" s="11" t="s">
        <v>30</v>
      </c>
      <c r="H58" s="35" t="s">
        <v>50</v>
      </c>
      <c r="I58" s="73">
        <v>0.38100000000000001</v>
      </c>
      <c r="J58" s="39">
        <v>2</v>
      </c>
      <c r="K58" s="2">
        <v>0</v>
      </c>
      <c r="L58" s="2">
        <f t="shared" si="8"/>
        <v>112.48</v>
      </c>
      <c r="M58" s="2">
        <f t="shared" si="4"/>
        <v>51.02013045332076</v>
      </c>
      <c r="N58" s="4">
        <v>0</v>
      </c>
      <c r="O58" s="2">
        <f t="shared" si="5"/>
        <v>112.48</v>
      </c>
      <c r="P58" s="2">
        <f t="shared" si="6"/>
        <v>51.127272727272725</v>
      </c>
    </row>
    <row r="59" spans="1:20" ht="15.75" customHeight="1" x14ac:dyDescent="0.25">
      <c r="A59" s="11" t="s">
        <v>176</v>
      </c>
      <c r="B59" s="11" t="s">
        <v>324</v>
      </c>
      <c r="C59" s="39">
        <v>1.85</v>
      </c>
      <c r="D59" s="2">
        <f t="shared" si="2"/>
        <v>0.83914688245593361</v>
      </c>
      <c r="E59" s="33" t="s">
        <v>177</v>
      </c>
      <c r="F59" s="33" t="s">
        <v>174</v>
      </c>
      <c r="G59" s="11" t="s">
        <v>178</v>
      </c>
      <c r="H59" s="38"/>
      <c r="I59" s="74"/>
      <c r="J59" s="39">
        <v>0</v>
      </c>
      <c r="K59" s="2">
        <v>0</v>
      </c>
      <c r="L59" s="2">
        <f t="shared" si="8"/>
        <v>1.85</v>
      </c>
      <c r="M59" s="2">
        <f t="shared" si="4"/>
        <v>0.83914688245593361</v>
      </c>
      <c r="N59" s="4">
        <v>0</v>
      </c>
      <c r="O59" s="2">
        <f t="shared" ref="O59:O77" si="9">L59/(1-N59)</f>
        <v>1.85</v>
      </c>
      <c r="P59" s="2">
        <f t="shared" ref="P59:P77" si="10">O59/2.2</f>
        <v>0.84090909090909083</v>
      </c>
    </row>
    <row r="60" spans="1:20" ht="15.75" customHeight="1" x14ac:dyDescent="0.25">
      <c r="A60" s="26" t="s">
        <v>179</v>
      </c>
      <c r="B60" s="11" t="s">
        <v>325</v>
      </c>
      <c r="C60" s="39">
        <v>0.99</v>
      </c>
      <c r="D60" s="2">
        <f t="shared" si="2"/>
        <v>0.44905698034128333</v>
      </c>
      <c r="E60" s="11" t="s">
        <v>177</v>
      </c>
      <c r="F60" s="33" t="s">
        <v>174</v>
      </c>
      <c r="G60" s="11" t="s">
        <v>178</v>
      </c>
      <c r="H60" s="38"/>
      <c r="I60" s="74"/>
      <c r="J60" s="39">
        <v>0</v>
      </c>
      <c r="K60" s="2">
        <v>0</v>
      </c>
      <c r="L60" s="2">
        <f t="shared" si="8"/>
        <v>0.99</v>
      </c>
      <c r="M60" s="2">
        <f t="shared" si="4"/>
        <v>0.44905698034128333</v>
      </c>
      <c r="N60" s="4">
        <v>0</v>
      </c>
      <c r="O60" s="2">
        <f t="shared" si="9"/>
        <v>0.99</v>
      </c>
      <c r="P60" s="2">
        <f t="shared" si="10"/>
        <v>0.44999999999999996</v>
      </c>
    </row>
    <row r="61" spans="1:20" ht="15.75" customHeight="1" x14ac:dyDescent="0.25">
      <c r="A61" s="26" t="s">
        <v>183</v>
      </c>
      <c r="B61" s="11" t="s">
        <v>393</v>
      </c>
      <c r="C61" s="39">
        <v>2.6124999999999998</v>
      </c>
      <c r="D61" s="2">
        <f t="shared" si="2"/>
        <v>1.1850114759006087</v>
      </c>
      <c r="E61" s="11"/>
      <c r="F61" s="11"/>
      <c r="G61" s="11"/>
      <c r="H61" s="38"/>
      <c r="I61" s="74"/>
      <c r="J61" s="39">
        <v>0</v>
      </c>
      <c r="K61" s="2">
        <v>0</v>
      </c>
      <c r="L61" s="2">
        <f t="shared" si="8"/>
        <v>2.6124999999999998</v>
      </c>
      <c r="M61" s="2">
        <f t="shared" si="4"/>
        <v>1.1850114759006087</v>
      </c>
      <c r="N61" s="4">
        <v>0</v>
      </c>
      <c r="O61" s="2">
        <f t="shared" si="9"/>
        <v>2.6124999999999998</v>
      </c>
      <c r="P61" s="2">
        <f t="shared" si="10"/>
        <v>1.1874999999999998</v>
      </c>
    </row>
    <row r="62" spans="1:20" ht="15.75" customHeight="1" x14ac:dyDescent="0.25">
      <c r="A62" s="26" t="s">
        <v>198</v>
      </c>
      <c r="B62" s="26" t="s">
        <v>198</v>
      </c>
      <c r="C62" s="39">
        <v>0.5</v>
      </c>
      <c r="D62" s="2">
        <f t="shared" si="2"/>
        <v>0.22679645471781987</v>
      </c>
      <c r="E62" s="11"/>
      <c r="F62" s="11"/>
      <c r="G62" s="11"/>
      <c r="H62" s="38"/>
      <c r="I62" s="74"/>
      <c r="J62" s="39">
        <v>0</v>
      </c>
      <c r="K62" s="2">
        <v>0</v>
      </c>
      <c r="L62" s="2">
        <f t="shared" si="8"/>
        <v>0.5</v>
      </c>
      <c r="M62" s="2">
        <f t="shared" si="4"/>
        <v>0.22679645471781987</v>
      </c>
      <c r="N62" s="4"/>
      <c r="O62" s="2">
        <f t="shared" si="9"/>
        <v>0.5</v>
      </c>
      <c r="P62" s="2">
        <f t="shared" si="10"/>
        <v>0.22727272727272727</v>
      </c>
    </row>
    <row r="63" spans="1:20" ht="15.75" customHeight="1" x14ac:dyDescent="0.25">
      <c r="A63" s="26" t="s">
        <v>204</v>
      </c>
      <c r="B63" s="26" t="s">
        <v>206</v>
      </c>
      <c r="C63" s="39">
        <v>10</v>
      </c>
      <c r="D63" s="2">
        <f t="shared" si="2"/>
        <v>4.5359290943563977</v>
      </c>
      <c r="E63" s="11"/>
      <c r="F63" s="11"/>
      <c r="G63" s="11"/>
      <c r="H63" s="38"/>
      <c r="I63" s="74"/>
      <c r="J63" s="39"/>
      <c r="K63" s="2">
        <v>0</v>
      </c>
      <c r="L63" s="2">
        <f t="shared" si="8"/>
        <v>10</v>
      </c>
      <c r="M63" s="2">
        <f t="shared" si="4"/>
        <v>4.5359290943563977</v>
      </c>
      <c r="N63" s="4"/>
      <c r="O63" s="2">
        <f t="shared" si="9"/>
        <v>10</v>
      </c>
      <c r="P63" s="2">
        <f t="shared" si="10"/>
        <v>4.545454545454545</v>
      </c>
    </row>
    <row r="64" spans="1:20" ht="15.75" customHeight="1" x14ac:dyDescent="0.25">
      <c r="A64" s="26" t="s">
        <v>205</v>
      </c>
      <c r="B64" s="26" t="s">
        <v>207</v>
      </c>
      <c r="C64" s="39">
        <v>10</v>
      </c>
      <c r="D64" s="2">
        <f t="shared" si="2"/>
        <v>4.5359290943563977</v>
      </c>
      <c r="E64" s="11"/>
      <c r="F64" s="11"/>
      <c r="G64" s="11"/>
      <c r="H64" s="38"/>
      <c r="I64" s="74"/>
      <c r="J64" s="39"/>
      <c r="K64" s="2">
        <v>0</v>
      </c>
      <c r="L64" s="2">
        <f t="shared" si="8"/>
        <v>10</v>
      </c>
      <c r="M64" s="2">
        <f t="shared" si="4"/>
        <v>4.5359290943563977</v>
      </c>
      <c r="N64" s="4"/>
      <c r="O64" s="2">
        <f t="shared" si="9"/>
        <v>10</v>
      </c>
      <c r="P64" s="2">
        <f t="shared" si="10"/>
        <v>4.545454545454545</v>
      </c>
    </row>
    <row r="65" spans="1:16" ht="15.75" customHeight="1" x14ac:dyDescent="0.25">
      <c r="A65" s="11" t="s">
        <v>429</v>
      </c>
      <c r="B65" s="11" t="s">
        <v>430</v>
      </c>
      <c r="C65" s="39">
        <v>4</v>
      </c>
      <c r="D65" s="2">
        <f t="shared" si="2"/>
        <v>1.8143716377425589</v>
      </c>
      <c r="E65" s="11"/>
      <c r="F65" s="11"/>
      <c r="G65" s="11"/>
      <c r="H65" s="38"/>
      <c r="I65" s="74"/>
      <c r="J65" s="39"/>
      <c r="K65" s="2"/>
      <c r="L65" s="2">
        <f t="shared" si="8"/>
        <v>4</v>
      </c>
      <c r="M65" s="2">
        <f t="shared" si="4"/>
        <v>1.8143716377425589</v>
      </c>
      <c r="N65" s="4"/>
      <c r="O65" s="2">
        <f t="shared" si="9"/>
        <v>4</v>
      </c>
      <c r="P65" s="2">
        <f t="shared" si="10"/>
        <v>1.8181818181818181</v>
      </c>
    </row>
    <row r="66" spans="1:16" ht="15.75" customHeight="1" x14ac:dyDescent="0.25">
      <c r="A66" s="26" t="s">
        <v>212</v>
      </c>
      <c r="B66" s="26" t="s">
        <v>213</v>
      </c>
      <c r="C66" s="39">
        <v>10</v>
      </c>
      <c r="D66" s="2">
        <f t="shared" si="2"/>
        <v>4.5359290943563977</v>
      </c>
      <c r="E66" s="11"/>
      <c r="F66" s="11"/>
      <c r="G66" s="11"/>
      <c r="H66" s="38"/>
      <c r="I66" s="74"/>
      <c r="J66" s="39"/>
      <c r="K66" s="2">
        <v>0</v>
      </c>
      <c r="L66" s="2">
        <f t="shared" si="8"/>
        <v>10</v>
      </c>
      <c r="M66" s="2">
        <f t="shared" si="4"/>
        <v>4.5359290943563977</v>
      </c>
      <c r="N66" s="4"/>
      <c r="O66" s="2">
        <f t="shared" si="9"/>
        <v>10</v>
      </c>
      <c r="P66" s="2">
        <f t="shared" si="10"/>
        <v>4.545454545454545</v>
      </c>
    </row>
    <row r="67" spans="1:16" ht="15.75" customHeight="1" x14ac:dyDescent="0.25">
      <c r="A67" s="11" t="s">
        <v>392</v>
      </c>
      <c r="B67" s="11" t="s">
        <v>433</v>
      </c>
      <c r="C67" s="39">
        <v>38.799999999999997</v>
      </c>
      <c r="D67" s="2">
        <f t="shared" si="2"/>
        <v>17.599404886102821</v>
      </c>
      <c r="E67" s="11" t="s">
        <v>400</v>
      </c>
      <c r="F67" s="11" t="s">
        <v>401</v>
      </c>
      <c r="G67" s="11"/>
      <c r="H67" s="38"/>
      <c r="I67" s="74">
        <v>0</v>
      </c>
      <c r="J67" s="39">
        <v>4</v>
      </c>
      <c r="K67" s="2">
        <v>0</v>
      </c>
      <c r="L67" s="2">
        <f t="shared" si="8"/>
        <v>42.8</v>
      </c>
      <c r="M67" s="2">
        <f t="shared" si="4"/>
        <v>19.413776523845378</v>
      </c>
      <c r="N67" s="4">
        <v>0.22</v>
      </c>
      <c r="O67" s="2">
        <f t="shared" si="9"/>
        <v>54.871794871794869</v>
      </c>
      <c r="P67" s="2">
        <f t="shared" si="10"/>
        <v>24.941724941724939</v>
      </c>
    </row>
    <row r="68" spans="1:16" ht="15.75" customHeight="1" x14ac:dyDescent="0.25">
      <c r="A68" s="11" t="s">
        <v>396</v>
      </c>
      <c r="B68" s="11" t="s">
        <v>432</v>
      </c>
      <c r="C68" s="39">
        <v>42.57</v>
      </c>
      <c r="D68" s="2">
        <f t="shared" si="2"/>
        <v>19.309450154675183</v>
      </c>
      <c r="E68" s="11" t="s">
        <v>397</v>
      </c>
      <c r="F68" s="11"/>
      <c r="G68" s="11" t="s">
        <v>398</v>
      </c>
      <c r="H68" s="38" t="s">
        <v>50</v>
      </c>
      <c r="I68" s="74">
        <v>3.1E-2</v>
      </c>
      <c r="J68" s="39">
        <v>2</v>
      </c>
      <c r="K68" s="2">
        <v>0</v>
      </c>
      <c r="L68" s="2">
        <f t="shared" si="8"/>
        <v>45.889669999999995</v>
      </c>
      <c r="M68" s="2">
        <f t="shared" si="4"/>
        <v>20.815228928341391</v>
      </c>
      <c r="N68" s="4"/>
      <c r="O68" s="2">
        <f t="shared" si="9"/>
        <v>45.889669999999995</v>
      </c>
      <c r="P68" s="2">
        <f t="shared" si="10"/>
        <v>20.858940909090904</v>
      </c>
    </row>
    <row r="69" spans="1:16" ht="15.75" customHeight="1" thickBot="1" x14ac:dyDescent="0.3">
      <c r="A69" s="11" t="s">
        <v>405</v>
      </c>
      <c r="B69" s="11" t="s">
        <v>406</v>
      </c>
      <c r="C69" s="39">
        <v>28.27</v>
      </c>
      <c r="D69" s="2">
        <f t="shared" si="2"/>
        <v>12.823071549745535</v>
      </c>
      <c r="E69" s="11" t="s">
        <v>407</v>
      </c>
      <c r="F69" s="11" t="s">
        <v>38</v>
      </c>
      <c r="G69" s="11" t="s">
        <v>39</v>
      </c>
      <c r="H69" s="38" t="s">
        <v>31</v>
      </c>
      <c r="I69" s="74">
        <v>3.1E-2</v>
      </c>
      <c r="J69" s="39">
        <v>4</v>
      </c>
      <c r="K69" s="2">
        <v>0</v>
      </c>
      <c r="L69" s="2">
        <f t="shared" si="8"/>
        <v>33.146369999999997</v>
      </c>
      <c r="M69" s="2">
        <f t="shared" si="4"/>
        <v>15.034958405530205</v>
      </c>
      <c r="N69" s="4">
        <v>0.3</v>
      </c>
      <c r="O69" s="2">
        <f t="shared" si="9"/>
        <v>47.351957142857145</v>
      </c>
      <c r="P69" s="2">
        <f t="shared" si="10"/>
        <v>21.523616883116883</v>
      </c>
    </row>
    <row r="70" spans="1:16" ht="15.75" customHeight="1" thickBot="1" x14ac:dyDescent="0.3">
      <c r="A70" s="11" t="s">
        <v>409</v>
      </c>
      <c r="B70" s="11" t="s">
        <v>410</v>
      </c>
      <c r="C70" s="39">
        <v>128</v>
      </c>
      <c r="D70" s="2">
        <f t="shared" si="2"/>
        <v>58.059892407761886</v>
      </c>
      <c r="E70" s="95" t="s">
        <v>110</v>
      </c>
      <c r="F70" s="95" t="s">
        <v>29</v>
      </c>
      <c r="G70" s="95" t="s">
        <v>30</v>
      </c>
      <c r="H70" s="95" t="s">
        <v>50</v>
      </c>
      <c r="I70" s="96">
        <v>0.38100000000000001</v>
      </c>
      <c r="J70" s="97">
        <v>3</v>
      </c>
      <c r="K70" s="2">
        <v>0</v>
      </c>
      <c r="L70" s="2">
        <f t="shared" si="8"/>
        <v>179.768</v>
      </c>
      <c r="M70" s="2">
        <f t="shared" si="4"/>
        <v>81.541490143426088</v>
      </c>
      <c r="N70" s="4"/>
      <c r="O70" s="2">
        <f t="shared" si="9"/>
        <v>179.768</v>
      </c>
      <c r="P70" s="2">
        <f t="shared" si="10"/>
        <v>81.712727272727264</v>
      </c>
    </row>
    <row r="71" spans="1:16" ht="15.75" customHeight="1" x14ac:dyDescent="0.25">
      <c r="A71" s="26" t="s">
        <v>413</v>
      </c>
      <c r="B71" s="11" t="s">
        <v>414</v>
      </c>
      <c r="C71" s="39">
        <v>43.25</v>
      </c>
      <c r="D71" s="2">
        <f t="shared" ref="D71:D76" si="11">C71/2.20462</f>
        <v>19.61789333309142</v>
      </c>
      <c r="E71" s="11" t="s">
        <v>49</v>
      </c>
      <c r="F71" s="11" t="s">
        <v>38</v>
      </c>
      <c r="G71" s="11" t="s">
        <v>39</v>
      </c>
      <c r="H71" s="38" t="s">
        <v>54</v>
      </c>
      <c r="I71" s="74">
        <v>0.15</v>
      </c>
      <c r="J71" s="39">
        <v>1</v>
      </c>
      <c r="K71" s="2">
        <v>0</v>
      </c>
      <c r="L71" s="2">
        <f t="shared" si="8"/>
        <v>50.737499999999997</v>
      </c>
      <c r="M71" s="2">
        <f t="shared" si="4"/>
        <v>23.014170242490771</v>
      </c>
      <c r="N71" s="4">
        <v>0.3</v>
      </c>
      <c r="O71" s="2">
        <f t="shared" si="9"/>
        <v>72.482142857142861</v>
      </c>
      <c r="P71" s="2">
        <f t="shared" si="10"/>
        <v>32.946428571428569</v>
      </c>
    </row>
    <row r="72" spans="1:16" ht="15.75" customHeight="1" x14ac:dyDescent="0.25">
      <c r="A72" s="11" t="s">
        <v>418</v>
      </c>
      <c r="B72" s="11" t="s">
        <v>419</v>
      </c>
      <c r="C72" s="39">
        <v>31.97</v>
      </c>
      <c r="D72" s="2">
        <f t="shared" si="11"/>
        <v>14.501365314657402</v>
      </c>
      <c r="E72" s="11" t="s">
        <v>41</v>
      </c>
      <c r="F72" s="11" t="s">
        <v>38</v>
      </c>
      <c r="G72" s="11" t="s">
        <v>39</v>
      </c>
      <c r="H72" s="38" t="s">
        <v>31</v>
      </c>
      <c r="I72" s="74">
        <v>3.1E-2</v>
      </c>
      <c r="J72" s="39">
        <v>1</v>
      </c>
      <c r="K72" s="2">
        <v>0</v>
      </c>
      <c r="L72" s="2">
        <f t="shared" si="8"/>
        <v>33.961069999999999</v>
      </c>
      <c r="M72" s="2">
        <f t="shared" si="4"/>
        <v>15.404500548847421</v>
      </c>
      <c r="N72" s="4">
        <v>0</v>
      </c>
      <c r="O72" s="2">
        <f t="shared" si="9"/>
        <v>33.961069999999999</v>
      </c>
      <c r="P72" s="2">
        <f t="shared" si="10"/>
        <v>15.436849999999998</v>
      </c>
    </row>
    <row r="73" spans="1:16" ht="15.75" customHeight="1" x14ac:dyDescent="0.25">
      <c r="A73" s="11" t="s">
        <v>420</v>
      </c>
      <c r="B73" s="11" t="s">
        <v>423</v>
      </c>
      <c r="C73" s="39">
        <v>3.98</v>
      </c>
      <c r="D73" s="2">
        <f t="shared" si="11"/>
        <v>1.8052997795538461</v>
      </c>
      <c r="E73" s="11"/>
      <c r="F73" s="11"/>
      <c r="G73" s="11"/>
      <c r="H73" s="38"/>
      <c r="I73" s="74"/>
      <c r="J73" s="39"/>
      <c r="K73" s="2">
        <v>1</v>
      </c>
      <c r="L73" s="2">
        <f t="shared" ref="L73" si="12">(C73*(1+I73))+J73</f>
        <v>3.98</v>
      </c>
      <c r="M73" s="2">
        <f t="shared" ref="M73" si="13">L73/2.20462</f>
        <v>1.8052997795538461</v>
      </c>
      <c r="N73" s="4"/>
      <c r="O73" s="2">
        <f t="shared" si="9"/>
        <v>3.98</v>
      </c>
      <c r="P73" s="2">
        <f t="shared" si="10"/>
        <v>1.8090909090909089</v>
      </c>
    </row>
    <row r="74" spans="1:16" ht="15.75" customHeight="1" x14ac:dyDescent="0.25">
      <c r="A74" s="11" t="s">
        <v>421</v>
      </c>
      <c r="B74" s="11" t="s">
        <v>422</v>
      </c>
      <c r="C74" s="39">
        <v>4.45</v>
      </c>
      <c r="D74" s="2">
        <f t="shared" si="11"/>
        <v>2.0184884469885969</v>
      </c>
      <c r="E74" s="11"/>
      <c r="F74" s="11"/>
      <c r="G74" s="11"/>
      <c r="H74" s="38"/>
      <c r="I74" s="74"/>
      <c r="J74" s="39"/>
      <c r="K74" s="2">
        <v>0</v>
      </c>
      <c r="L74" s="2">
        <f t="shared" si="8"/>
        <v>4.45</v>
      </c>
      <c r="M74" s="2">
        <f t="shared" si="4"/>
        <v>2.0184884469885969</v>
      </c>
      <c r="N74" s="4">
        <v>0</v>
      </c>
      <c r="O74" s="2">
        <f t="shared" si="9"/>
        <v>4.45</v>
      </c>
      <c r="P74" s="2">
        <f t="shared" si="10"/>
        <v>2.0227272727272725</v>
      </c>
    </row>
    <row r="75" spans="1:16" ht="15.75" customHeight="1" x14ac:dyDescent="0.25">
      <c r="A75" s="99"/>
      <c r="B75" s="99"/>
      <c r="C75" s="100"/>
      <c r="D75" s="100">
        <f t="shared" si="11"/>
        <v>0</v>
      </c>
      <c r="E75" s="99"/>
      <c r="F75" s="99"/>
      <c r="G75" s="99"/>
      <c r="H75" s="101"/>
      <c r="I75" s="102"/>
      <c r="J75" s="100"/>
      <c r="K75" s="2">
        <v>0</v>
      </c>
      <c r="L75" s="2">
        <f t="shared" si="8"/>
        <v>0</v>
      </c>
      <c r="M75" s="2">
        <f t="shared" si="4"/>
        <v>0</v>
      </c>
      <c r="N75" s="4"/>
      <c r="O75" s="2">
        <f t="shared" si="9"/>
        <v>0</v>
      </c>
      <c r="P75" s="2">
        <f t="shared" si="10"/>
        <v>0</v>
      </c>
    </row>
    <row r="76" spans="1:16" ht="15.75" customHeight="1" x14ac:dyDescent="0.25">
      <c r="A76" s="11"/>
      <c r="B76" s="11"/>
      <c r="C76" s="39"/>
      <c r="D76" s="2">
        <f t="shared" si="11"/>
        <v>0</v>
      </c>
      <c r="E76" s="11"/>
      <c r="F76" s="11"/>
      <c r="G76" s="11"/>
      <c r="H76" s="38"/>
      <c r="I76" s="74"/>
      <c r="J76" s="39"/>
      <c r="K76" s="2">
        <v>0</v>
      </c>
      <c r="L76" s="2">
        <f t="shared" si="8"/>
        <v>0</v>
      </c>
      <c r="M76" s="2">
        <f t="shared" si="4"/>
        <v>0</v>
      </c>
      <c r="N76" s="4"/>
      <c r="O76" s="2">
        <f t="shared" si="9"/>
        <v>0</v>
      </c>
      <c r="P76" s="2">
        <f t="shared" si="10"/>
        <v>0</v>
      </c>
    </row>
    <row r="77" spans="1:16" ht="15.75" customHeight="1" x14ac:dyDescent="0.25">
      <c r="A77" s="11"/>
      <c r="B77" s="11"/>
      <c r="C77" s="39"/>
      <c r="D77" s="2"/>
      <c r="E77" s="11"/>
      <c r="F77" s="11"/>
      <c r="G77" s="11"/>
      <c r="H77" s="38"/>
      <c r="I77" s="74"/>
      <c r="J77" s="39"/>
      <c r="K77" s="2"/>
      <c r="L77" s="2"/>
      <c r="M77" s="2"/>
      <c r="N77" s="4"/>
      <c r="O77" s="2">
        <f t="shared" si="9"/>
        <v>0</v>
      </c>
      <c r="P77" s="2">
        <f t="shared" si="10"/>
        <v>0</v>
      </c>
    </row>
    <row r="78" spans="1:16" ht="15.75" customHeight="1" x14ac:dyDescent="0.25">
      <c r="A78" s="11"/>
      <c r="B78" s="11"/>
      <c r="C78" s="39"/>
      <c r="D78" s="2"/>
      <c r="E78" s="11"/>
      <c r="F78" s="11"/>
      <c r="G78" s="11"/>
      <c r="H78" s="38"/>
      <c r="I78" s="74"/>
      <c r="J78" s="39"/>
      <c r="K78" s="2"/>
      <c r="L78" s="2"/>
      <c r="M78" s="2"/>
      <c r="N78" s="4"/>
      <c r="O78" s="2"/>
      <c r="P78" s="2"/>
    </row>
    <row r="79" spans="1:16" ht="15.75" customHeight="1" x14ac:dyDescent="0.25">
      <c r="A79" s="11"/>
      <c r="B79" s="11"/>
      <c r="C79" s="39"/>
      <c r="D79" s="2"/>
      <c r="E79" s="11"/>
      <c r="F79" s="11"/>
      <c r="G79" s="11"/>
      <c r="H79" s="38"/>
      <c r="I79" s="74"/>
      <c r="J79" s="39"/>
      <c r="K79" s="2"/>
      <c r="L79" s="2"/>
      <c r="M79" s="2"/>
      <c r="N79" s="4"/>
      <c r="O79" s="2"/>
      <c r="P79" s="2"/>
    </row>
    <row r="80" spans="1:16" ht="15.75" customHeight="1" x14ac:dyDescent="0.25">
      <c r="A80" s="11"/>
      <c r="B80" s="11"/>
      <c r="C80" s="39"/>
      <c r="D80" s="2"/>
      <c r="E80" s="11"/>
      <c r="F80" s="11"/>
      <c r="G80" s="11"/>
      <c r="H80" s="38"/>
      <c r="I80" s="74"/>
      <c r="J80" s="39"/>
      <c r="K80" s="2"/>
      <c r="L80" s="2"/>
      <c r="M80" s="2"/>
      <c r="N80" s="4"/>
      <c r="O80" s="2"/>
      <c r="P80" s="2"/>
    </row>
    <row r="81" spans="1:19" ht="15.75" customHeight="1" x14ac:dyDescent="0.25">
      <c r="A81" s="11"/>
      <c r="B81" s="11"/>
      <c r="C81" s="39"/>
      <c r="D81" s="2"/>
      <c r="E81" s="11"/>
      <c r="F81" s="11"/>
      <c r="G81" s="11"/>
      <c r="H81" s="38"/>
      <c r="I81" s="74"/>
      <c r="J81" s="39"/>
      <c r="K81" s="2"/>
      <c r="L81" s="2"/>
      <c r="M81" s="2"/>
      <c r="N81" s="4"/>
      <c r="O81" s="2"/>
      <c r="P81" s="2"/>
    </row>
    <row r="82" spans="1:19" ht="15.75" customHeight="1" x14ac:dyDescent="0.25">
      <c r="A82" s="11"/>
      <c r="B82" s="11"/>
      <c r="C82" s="39"/>
      <c r="D82" s="2"/>
      <c r="E82" s="11"/>
      <c r="F82" s="11"/>
      <c r="G82" s="11"/>
      <c r="H82" s="38"/>
      <c r="I82" s="74"/>
      <c r="J82" s="39"/>
      <c r="K82" s="2"/>
      <c r="L82" s="2"/>
      <c r="M82" s="2"/>
      <c r="N82" s="4"/>
      <c r="O82" s="2"/>
      <c r="P82" s="2"/>
    </row>
    <row r="83" spans="1:19" s="43" customFormat="1" ht="45" customHeight="1" x14ac:dyDescent="0.25">
      <c r="A83" s="103" t="s">
        <v>136</v>
      </c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</row>
    <row r="84" spans="1:19" ht="15.75" customHeight="1" x14ac:dyDescent="0.25">
      <c r="A84" s="11" t="s">
        <v>169</v>
      </c>
      <c r="B84" s="11" t="s">
        <v>169</v>
      </c>
      <c r="C84" s="39">
        <v>1.92</v>
      </c>
      <c r="D84" s="2"/>
      <c r="E84" s="11" t="s">
        <v>175</v>
      </c>
      <c r="F84" s="11" t="s">
        <v>174</v>
      </c>
      <c r="G84" s="11" t="s">
        <v>173</v>
      </c>
      <c r="H84" s="38"/>
      <c r="I84" s="40"/>
      <c r="J84" s="39">
        <v>0.5</v>
      </c>
      <c r="K84" s="2"/>
      <c r="L84" s="2">
        <f t="shared" si="8"/>
        <v>2.42</v>
      </c>
      <c r="N84" s="24"/>
      <c r="O84" s="2"/>
      <c r="P84" s="2"/>
    </row>
    <row r="85" spans="1:19" ht="15.75" customHeight="1" x14ac:dyDescent="0.25">
      <c r="A85" s="11" t="s">
        <v>170</v>
      </c>
      <c r="B85" s="11" t="s">
        <v>170</v>
      </c>
      <c r="C85" s="39">
        <v>1.97</v>
      </c>
      <c r="D85" s="2"/>
      <c r="E85" s="11" t="s">
        <v>175</v>
      </c>
      <c r="F85" s="11" t="s">
        <v>174</v>
      </c>
      <c r="G85" s="11" t="s">
        <v>173</v>
      </c>
      <c r="H85" s="38"/>
      <c r="I85" s="40"/>
      <c r="J85" s="39">
        <v>0.5</v>
      </c>
      <c r="K85" s="2"/>
      <c r="L85" s="2">
        <f t="shared" si="8"/>
        <v>2.4699999999999998</v>
      </c>
      <c r="N85" s="24"/>
      <c r="O85" s="2"/>
      <c r="P85" s="2"/>
    </row>
    <row r="86" spans="1:19" ht="15.75" customHeight="1" x14ac:dyDescent="0.25">
      <c r="A86" s="11" t="s">
        <v>171</v>
      </c>
      <c r="B86" s="11" t="s">
        <v>171</v>
      </c>
      <c r="C86" s="39">
        <v>1.42</v>
      </c>
      <c r="D86" s="2"/>
      <c r="E86" s="11" t="s">
        <v>175</v>
      </c>
      <c r="F86" s="11" t="s">
        <v>174</v>
      </c>
      <c r="G86" s="11" t="s">
        <v>173</v>
      </c>
      <c r="H86" s="38"/>
      <c r="I86" s="40"/>
      <c r="J86" s="39">
        <v>0.5</v>
      </c>
      <c r="K86" s="2"/>
      <c r="L86" s="2">
        <f t="shared" si="8"/>
        <v>1.92</v>
      </c>
      <c r="N86" s="24"/>
      <c r="O86" s="2"/>
      <c r="P86" s="2"/>
    </row>
    <row r="87" spans="1:19" ht="15.75" customHeight="1" x14ac:dyDescent="0.25">
      <c r="A87" s="11" t="s">
        <v>172</v>
      </c>
      <c r="B87" s="11" t="s">
        <v>172</v>
      </c>
      <c r="C87" s="39">
        <v>58</v>
      </c>
      <c r="D87" s="2"/>
      <c r="E87" s="11" t="s">
        <v>175</v>
      </c>
      <c r="F87" s="11" t="s">
        <v>174</v>
      </c>
      <c r="G87" s="11" t="s">
        <v>173</v>
      </c>
      <c r="H87" s="38"/>
      <c r="I87" s="40"/>
      <c r="J87" s="39">
        <v>0.5</v>
      </c>
      <c r="K87" s="2"/>
      <c r="L87" s="2">
        <f t="shared" si="8"/>
        <v>58.5</v>
      </c>
      <c r="N87" s="24"/>
      <c r="O87" s="2"/>
      <c r="P87" s="2"/>
    </row>
    <row r="88" spans="1:19" ht="15.75" customHeight="1" x14ac:dyDescent="0.25">
      <c r="A88" s="11" t="s">
        <v>180</v>
      </c>
      <c r="B88" s="11" t="s">
        <v>180</v>
      </c>
      <c r="C88" s="39">
        <v>0.55300000000000005</v>
      </c>
      <c r="D88" s="2"/>
      <c r="E88" s="11" t="s">
        <v>177</v>
      </c>
      <c r="F88" s="11" t="s">
        <v>174</v>
      </c>
      <c r="G88" s="11" t="s">
        <v>182</v>
      </c>
      <c r="H88" s="38"/>
      <c r="I88" s="40"/>
      <c r="J88" s="39">
        <v>0</v>
      </c>
      <c r="K88" s="2"/>
      <c r="L88" s="2">
        <f t="shared" si="8"/>
        <v>0.55300000000000005</v>
      </c>
      <c r="N88" s="24"/>
      <c r="O88" s="2"/>
      <c r="P88" s="2"/>
    </row>
    <row r="89" spans="1:19" ht="15.75" customHeight="1" x14ac:dyDescent="0.25">
      <c r="A89" s="11" t="s">
        <v>181</v>
      </c>
      <c r="B89" s="11" t="s">
        <v>181</v>
      </c>
      <c r="C89" s="39">
        <v>0.67800000000000005</v>
      </c>
      <c r="D89" s="2"/>
      <c r="E89" s="11" t="s">
        <v>177</v>
      </c>
      <c r="F89" s="11" t="s">
        <v>174</v>
      </c>
      <c r="G89" s="11" t="s">
        <v>182</v>
      </c>
      <c r="H89" s="38"/>
      <c r="I89" s="40"/>
      <c r="J89" s="39">
        <v>0</v>
      </c>
      <c r="K89" s="2"/>
      <c r="L89" s="2">
        <f t="shared" si="8"/>
        <v>0.67800000000000005</v>
      </c>
      <c r="N89" s="24"/>
      <c r="O89" s="2"/>
      <c r="P89" s="2"/>
    </row>
    <row r="90" spans="1:19" ht="15.75" customHeight="1" x14ac:dyDescent="0.25">
      <c r="A90" s="39" t="s">
        <v>186</v>
      </c>
      <c r="B90" s="39" t="s">
        <v>186</v>
      </c>
      <c r="C90" s="39">
        <f>1.49+0.11</f>
        <v>1.6</v>
      </c>
      <c r="D90" s="2"/>
      <c r="E90" s="11"/>
      <c r="F90" s="11"/>
      <c r="G90" s="11" t="s">
        <v>187</v>
      </c>
      <c r="H90" s="38"/>
      <c r="I90" s="40"/>
      <c r="J90" s="39">
        <v>0</v>
      </c>
      <c r="K90" s="2"/>
      <c r="L90" s="2">
        <f t="shared" si="8"/>
        <v>1.6</v>
      </c>
      <c r="N90" s="24"/>
      <c r="O90" s="2"/>
      <c r="P90" s="2"/>
    </row>
    <row r="91" spans="1:19" ht="15.75" customHeight="1" x14ac:dyDescent="0.25">
      <c r="A91" s="39" t="s">
        <v>184</v>
      </c>
      <c r="B91" s="39" t="s">
        <v>184</v>
      </c>
      <c r="C91" s="39">
        <f>7.75+1.93</f>
        <v>9.68</v>
      </c>
      <c r="D91" s="2"/>
      <c r="E91" s="11"/>
      <c r="F91" s="11"/>
      <c r="G91" s="11" t="s">
        <v>187</v>
      </c>
      <c r="H91" s="38"/>
      <c r="I91" s="40"/>
      <c r="J91" s="39">
        <v>0</v>
      </c>
      <c r="K91" s="2"/>
      <c r="L91" s="2">
        <f t="shared" si="8"/>
        <v>9.68</v>
      </c>
      <c r="N91" s="24"/>
      <c r="O91" s="2"/>
      <c r="P91" s="2"/>
    </row>
    <row r="92" spans="1:19" ht="15.75" customHeight="1" x14ac:dyDescent="0.25">
      <c r="A92" s="11" t="s">
        <v>191</v>
      </c>
      <c r="B92" s="11" t="s">
        <v>214</v>
      </c>
      <c r="C92" s="39"/>
      <c r="D92" s="2"/>
      <c r="E92" s="11"/>
      <c r="F92" s="11"/>
      <c r="G92" s="11"/>
      <c r="H92" s="38"/>
      <c r="I92" s="40"/>
      <c r="J92" s="39"/>
      <c r="K92" s="2"/>
      <c r="L92" s="2">
        <f t="shared" si="8"/>
        <v>0</v>
      </c>
      <c r="N92" s="24"/>
      <c r="O92" s="2"/>
      <c r="P92" s="2"/>
    </row>
    <row r="93" spans="1:19" ht="15.75" customHeight="1" x14ac:dyDescent="0.25">
      <c r="A93" s="11" t="s">
        <v>402</v>
      </c>
      <c r="B93" s="11"/>
      <c r="C93" s="39">
        <v>175</v>
      </c>
      <c r="D93" s="2"/>
      <c r="E93" s="11" t="s">
        <v>175</v>
      </c>
      <c r="F93" s="11" t="s">
        <v>174</v>
      </c>
      <c r="G93" s="11" t="s">
        <v>173</v>
      </c>
      <c r="H93" s="38"/>
      <c r="I93" s="40"/>
      <c r="J93" s="39"/>
      <c r="K93" s="2"/>
      <c r="L93" s="2">
        <f t="shared" si="8"/>
        <v>175</v>
      </c>
      <c r="N93" s="24"/>
      <c r="O93" s="2"/>
      <c r="P93" s="2"/>
    </row>
    <row r="94" spans="1:19" ht="15.75" customHeight="1" x14ac:dyDescent="0.25">
      <c r="A94" s="11"/>
      <c r="B94" s="39"/>
      <c r="C94" s="39"/>
      <c r="D94" s="2"/>
      <c r="E94" s="11"/>
      <c r="F94" s="11"/>
      <c r="G94" s="11"/>
      <c r="H94" s="38"/>
      <c r="I94" s="40"/>
      <c r="J94" s="39"/>
      <c r="K94" s="2"/>
      <c r="L94" s="2">
        <f t="shared" si="8"/>
        <v>0</v>
      </c>
      <c r="N94" s="24"/>
      <c r="O94" s="2"/>
      <c r="P94" s="2"/>
    </row>
    <row r="95" spans="1:19" ht="15.75" customHeight="1" x14ac:dyDescent="0.25">
      <c r="A95" s="11"/>
      <c r="B95" s="39"/>
      <c r="C95" s="39"/>
      <c r="E95" s="11"/>
      <c r="F95" s="11"/>
      <c r="G95" s="11"/>
      <c r="H95" s="38"/>
      <c r="I95" s="40"/>
      <c r="J95" s="39"/>
      <c r="K95" s="2"/>
      <c r="L95" s="2">
        <f t="shared" si="8"/>
        <v>0</v>
      </c>
      <c r="N95" s="24"/>
      <c r="O95" s="2"/>
      <c r="P95" s="2"/>
    </row>
    <row r="96" spans="1:19" ht="15.75" customHeight="1" x14ac:dyDescent="0.25">
      <c r="A96" s="11"/>
      <c r="B96" s="39"/>
      <c r="C96" s="39"/>
      <c r="E96" s="11"/>
      <c r="F96" s="11"/>
      <c r="G96" s="11"/>
      <c r="H96" s="38"/>
      <c r="I96" s="40"/>
      <c r="J96" s="39"/>
      <c r="K96" s="2"/>
      <c r="L96" s="2">
        <f t="shared" si="8"/>
        <v>0</v>
      </c>
      <c r="N96" s="24"/>
      <c r="O96" s="2"/>
      <c r="P96" s="2"/>
    </row>
    <row r="97" spans="1:16" ht="15.75" customHeight="1" x14ac:dyDescent="0.25">
      <c r="A97" s="11"/>
      <c r="B97" s="39"/>
      <c r="C97" s="39"/>
      <c r="E97" s="11"/>
      <c r="F97" s="11"/>
      <c r="G97" s="11"/>
      <c r="H97" s="38"/>
      <c r="I97" s="40"/>
      <c r="J97" s="39"/>
      <c r="K97" s="2"/>
      <c r="L97" s="2">
        <f t="shared" si="8"/>
        <v>0</v>
      </c>
      <c r="N97" s="24"/>
      <c r="O97" s="2"/>
      <c r="P97" s="2"/>
    </row>
    <row r="98" spans="1:16" ht="15.75" customHeight="1" x14ac:dyDescent="0.25">
      <c r="A98" s="11"/>
      <c r="B98" s="39"/>
      <c r="C98" s="39"/>
      <c r="E98" s="11"/>
      <c r="F98" s="11"/>
      <c r="G98" s="11"/>
      <c r="H98" s="38"/>
      <c r="I98" s="40"/>
      <c r="J98" s="39"/>
      <c r="K98" s="2"/>
      <c r="L98" s="2">
        <f t="shared" si="8"/>
        <v>0</v>
      </c>
      <c r="N98" s="24"/>
      <c r="O98" s="2"/>
      <c r="P98" s="2"/>
    </row>
    <row r="99" spans="1:16" ht="15.75" customHeight="1" x14ac:dyDescent="0.25">
      <c r="B99" s="2"/>
      <c r="C99" s="2"/>
      <c r="H99" s="25"/>
      <c r="I99" s="24"/>
      <c r="J99" s="2"/>
      <c r="K99" s="2"/>
      <c r="L99" s="2"/>
      <c r="N99" s="24"/>
      <c r="O99" s="2"/>
      <c r="P99" s="2"/>
    </row>
    <row r="100" spans="1:16" ht="15.75" customHeight="1" x14ac:dyDescent="0.25">
      <c r="B100" s="2"/>
      <c r="C100" s="2"/>
      <c r="H100" s="25"/>
      <c r="I100" s="24"/>
      <c r="J100" s="2"/>
      <c r="K100" s="2"/>
      <c r="L100" s="2"/>
      <c r="N100" s="24"/>
      <c r="O100" s="2"/>
      <c r="P100" s="2"/>
    </row>
    <row r="101" spans="1:16" ht="15.75" customHeight="1" x14ac:dyDescent="0.25">
      <c r="B101" s="2"/>
      <c r="C101" s="2"/>
      <c r="H101" s="25"/>
      <c r="I101" s="24"/>
      <c r="J101" s="2"/>
      <c r="K101" s="2"/>
      <c r="L101" s="2"/>
      <c r="N101" s="24"/>
      <c r="O101" s="2"/>
      <c r="P101" s="2"/>
    </row>
    <row r="102" spans="1:16" ht="15.75" customHeight="1" x14ac:dyDescent="0.25">
      <c r="B102" s="2"/>
      <c r="C102" s="2"/>
      <c r="H102" s="25"/>
      <c r="I102" s="24"/>
      <c r="J102" s="2"/>
      <c r="K102" s="2"/>
      <c r="L102" s="2"/>
      <c r="N102" s="24"/>
      <c r="O102" s="2"/>
      <c r="P102" s="2"/>
    </row>
    <row r="103" spans="1:16" ht="15.75" customHeight="1" x14ac:dyDescent="0.25">
      <c r="B103" s="2"/>
      <c r="C103" s="2"/>
      <c r="H103" s="25"/>
      <c r="I103" s="24"/>
      <c r="J103" s="2"/>
      <c r="K103" s="2"/>
      <c r="L103" s="2"/>
      <c r="N103" s="24"/>
      <c r="O103" s="2"/>
      <c r="P103" s="2"/>
    </row>
    <row r="104" spans="1:16" ht="15.75" customHeight="1" x14ac:dyDescent="0.25">
      <c r="B104" s="2"/>
      <c r="C104" s="2"/>
      <c r="H104" s="25"/>
      <c r="I104" s="24"/>
      <c r="J104" s="2"/>
      <c r="K104" s="2"/>
      <c r="L104" s="2"/>
      <c r="N104" s="24"/>
      <c r="O104" s="2"/>
      <c r="P104" s="2"/>
    </row>
    <row r="105" spans="1:16" ht="15.75" customHeight="1" x14ac:dyDescent="0.25">
      <c r="B105" s="2"/>
      <c r="C105" s="2"/>
      <c r="H105" s="25"/>
      <c r="I105" s="24"/>
      <c r="J105" s="2"/>
      <c r="K105" s="2"/>
      <c r="L105" s="2"/>
      <c r="N105" s="24"/>
      <c r="O105" s="2"/>
      <c r="P105" s="2"/>
    </row>
    <row r="106" spans="1:16" ht="15.75" customHeight="1" x14ac:dyDescent="0.25">
      <c r="B106" s="2"/>
      <c r="C106" s="2"/>
      <c r="H106" s="25"/>
      <c r="I106" s="24"/>
      <c r="J106" s="2"/>
      <c r="K106" s="2"/>
      <c r="L106" s="2"/>
      <c r="N106" s="24"/>
      <c r="O106" s="2"/>
      <c r="P106" s="2"/>
    </row>
    <row r="107" spans="1:16" ht="15.75" customHeight="1" x14ac:dyDescent="0.25">
      <c r="B107" s="2"/>
      <c r="C107" s="2"/>
      <c r="H107" s="25"/>
      <c r="I107" s="24"/>
      <c r="J107" s="2"/>
      <c r="K107" s="2"/>
      <c r="L107" s="2"/>
      <c r="N107" s="24"/>
      <c r="O107" s="2"/>
      <c r="P107" s="2"/>
    </row>
    <row r="108" spans="1:16" ht="15.75" customHeight="1" x14ac:dyDescent="0.25">
      <c r="B108" s="2"/>
      <c r="C108" s="2"/>
      <c r="H108" s="25"/>
      <c r="I108" s="24"/>
      <c r="J108" s="2"/>
      <c r="K108" s="2"/>
      <c r="L108" s="2"/>
      <c r="N108" s="24"/>
      <c r="O108" s="2"/>
      <c r="P108" s="2"/>
    </row>
    <row r="109" spans="1:16" ht="15.75" customHeight="1" x14ac:dyDescent="0.25">
      <c r="B109" s="2"/>
      <c r="C109" s="2"/>
      <c r="H109" s="25"/>
      <c r="I109" s="24"/>
      <c r="J109" s="2"/>
      <c r="K109" s="2"/>
      <c r="L109" s="2"/>
      <c r="N109" s="24"/>
      <c r="O109" s="2"/>
      <c r="P109" s="2"/>
    </row>
    <row r="110" spans="1:16" ht="15.75" customHeight="1" x14ac:dyDescent="0.25">
      <c r="B110" s="2"/>
      <c r="C110" s="2"/>
      <c r="H110" s="25"/>
      <c r="I110" s="24"/>
      <c r="J110" s="2"/>
      <c r="K110" s="2"/>
      <c r="L110" s="2"/>
      <c r="N110" s="24"/>
      <c r="O110" s="2"/>
      <c r="P110" s="2"/>
    </row>
    <row r="111" spans="1:16" ht="15.75" customHeight="1" x14ac:dyDescent="0.25">
      <c r="B111" s="2"/>
      <c r="C111" s="2"/>
      <c r="H111" s="25"/>
      <c r="I111" s="24"/>
      <c r="J111" s="2"/>
      <c r="K111" s="2"/>
      <c r="L111" s="2"/>
      <c r="N111" s="24"/>
      <c r="O111" s="2"/>
      <c r="P111" s="2"/>
    </row>
    <row r="112" spans="1:16" ht="15.75" customHeight="1" x14ac:dyDescent="0.25">
      <c r="B112" s="2"/>
      <c r="C112" s="2"/>
      <c r="H112" s="25"/>
      <c r="I112" s="24"/>
      <c r="J112" s="2"/>
      <c r="K112" s="2"/>
      <c r="L112" s="2"/>
      <c r="N112" s="24"/>
      <c r="O112" s="2"/>
      <c r="P112" s="2"/>
    </row>
    <row r="113" spans="2:16" ht="15.75" customHeight="1" x14ac:dyDescent="0.25">
      <c r="B113" s="2"/>
      <c r="C113" s="2"/>
      <c r="H113" s="25"/>
      <c r="I113" s="24"/>
      <c r="J113" s="2"/>
      <c r="K113" s="2"/>
      <c r="L113" s="2"/>
      <c r="N113" s="24"/>
      <c r="O113" s="2"/>
      <c r="P113" s="2"/>
    </row>
    <row r="114" spans="2:16" ht="15.75" customHeight="1" x14ac:dyDescent="0.25">
      <c r="B114" s="2"/>
      <c r="C114" s="2"/>
      <c r="H114" s="25"/>
      <c r="I114" s="24"/>
      <c r="J114" s="2"/>
      <c r="K114" s="2"/>
      <c r="L114" s="2"/>
      <c r="N114" s="24"/>
      <c r="O114" s="2"/>
      <c r="P114" s="2"/>
    </row>
    <row r="115" spans="2:16" ht="15.75" customHeight="1" x14ac:dyDescent="0.25">
      <c r="B115" s="2"/>
      <c r="C115" s="2"/>
      <c r="H115" s="25"/>
      <c r="I115" s="24"/>
      <c r="J115" s="2"/>
      <c r="K115" s="2"/>
      <c r="L115" s="2"/>
      <c r="N115" s="24"/>
      <c r="O115" s="2"/>
      <c r="P115" s="2"/>
    </row>
    <row r="116" spans="2:16" ht="15.75" customHeight="1" x14ac:dyDescent="0.25">
      <c r="B116" s="2"/>
      <c r="C116" s="2"/>
      <c r="H116" s="25"/>
      <c r="I116" s="24"/>
      <c r="J116" s="2"/>
      <c r="K116" s="2"/>
      <c r="L116" s="2"/>
      <c r="N116" s="24"/>
      <c r="O116" s="2"/>
      <c r="P116" s="2"/>
    </row>
    <row r="117" spans="2:16" ht="15.75" customHeight="1" x14ac:dyDescent="0.25">
      <c r="B117" s="2"/>
      <c r="C117" s="2"/>
      <c r="H117" s="25"/>
      <c r="I117" s="24"/>
      <c r="J117" s="2"/>
      <c r="K117" s="2"/>
      <c r="L117" s="2"/>
      <c r="N117" s="24"/>
      <c r="O117" s="2"/>
      <c r="P117" s="2"/>
    </row>
    <row r="118" spans="2:16" ht="15.75" customHeight="1" x14ac:dyDescent="0.25">
      <c r="B118" s="2"/>
      <c r="C118" s="2"/>
      <c r="H118" s="25"/>
      <c r="I118" s="24"/>
      <c r="J118" s="2"/>
      <c r="K118" s="2"/>
      <c r="L118" s="2"/>
      <c r="N118" s="24"/>
      <c r="O118" s="2"/>
      <c r="P118" s="2"/>
    </row>
    <row r="119" spans="2:16" ht="15.75" customHeight="1" x14ac:dyDescent="0.25">
      <c r="B119" s="2"/>
      <c r="C119" s="2"/>
      <c r="H119" s="25"/>
      <c r="I119" s="24"/>
      <c r="J119" s="2"/>
      <c r="K119" s="2"/>
      <c r="L119" s="2"/>
      <c r="N119" s="24"/>
      <c r="O119" s="2"/>
      <c r="P119" s="2"/>
    </row>
    <row r="120" spans="2:16" ht="15.75" customHeight="1" x14ac:dyDescent="0.25">
      <c r="B120" s="2"/>
      <c r="C120" s="2"/>
      <c r="H120" s="25"/>
      <c r="I120" s="24"/>
      <c r="J120" s="2"/>
      <c r="K120" s="2"/>
      <c r="L120" s="2"/>
      <c r="N120" s="24"/>
      <c r="O120" s="2"/>
      <c r="P120" s="2"/>
    </row>
    <row r="121" spans="2:16" ht="15.75" customHeight="1" x14ac:dyDescent="0.25">
      <c r="B121" s="2"/>
      <c r="C121" s="2"/>
      <c r="H121" s="25"/>
      <c r="I121" s="24"/>
      <c r="J121" s="2"/>
      <c r="K121" s="2"/>
      <c r="L121" s="2"/>
      <c r="N121" s="24"/>
      <c r="O121" s="2"/>
      <c r="P121" s="2"/>
    </row>
    <row r="122" spans="2:16" ht="15.75" customHeight="1" x14ac:dyDescent="0.25">
      <c r="B122" s="2"/>
      <c r="C122" s="2"/>
      <c r="H122" s="25"/>
      <c r="I122" s="24"/>
      <c r="J122" s="2"/>
      <c r="K122" s="2"/>
      <c r="L122" s="2"/>
      <c r="N122" s="24"/>
      <c r="O122" s="2"/>
      <c r="P122" s="2"/>
    </row>
    <row r="123" spans="2:16" ht="15.75" customHeight="1" x14ac:dyDescent="0.25">
      <c r="B123" s="2"/>
      <c r="C123" s="2"/>
      <c r="H123" s="25"/>
      <c r="I123" s="24"/>
      <c r="J123" s="2"/>
      <c r="K123" s="2"/>
      <c r="L123" s="2"/>
      <c r="N123" s="24"/>
      <c r="O123" s="2"/>
      <c r="P123" s="2"/>
    </row>
    <row r="124" spans="2:16" ht="15.75" customHeight="1" x14ac:dyDescent="0.25">
      <c r="B124" s="2"/>
      <c r="C124" s="2"/>
      <c r="H124" s="25"/>
      <c r="I124" s="24"/>
      <c r="J124" s="2"/>
      <c r="K124" s="2"/>
      <c r="L124" s="2"/>
      <c r="N124" s="24"/>
      <c r="O124" s="2"/>
      <c r="P124" s="2"/>
    </row>
    <row r="125" spans="2:16" ht="15.75" customHeight="1" x14ac:dyDescent="0.25">
      <c r="B125" s="2"/>
      <c r="C125" s="2"/>
      <c r="H125" s="25"/>
      <c r="I125" s="24"/>
      <c r="J125" s="2"/>
      <c r="K125" s="2"/>
      <c r="L125" s="2"/>
      <c r="N125" s="24"/>
      <c r="O125" s="2"/>
      <c r="P125" s="2"/>
    </row>
    <row r="126" spans="2:16" ht="15.75" customHeight="1" x14ac:dyDescent="0.25">
      <c r="B126" s="2"/>
      <c r="C126" s="2"/>
      <c r="H126" s="25"/>
      <c r="I126" s="24"/>
      <c r="J126" s="2"/>
      <c r="K126" s="2"/>
      <c r="L126" s="2"/>
      <c r="N126" s="24"/>
      <c r="O126" s="2"/>
      <c r="P126" s="2"/>
    </row>
    <row r="127" spans="2:16" ht="15.75" customHeight="1" x14ac:dyDescent="0.25">
      <c r="B127" s="2"/>
      <c r="C127" s="2"/>
      <c r="H127" s="25"/>
      <c r="I127" s="24"/>
      <c r="J127" s="2"/>
      <c r="K127" s="2"/>
      <c r="L127" s="2"/>
      <c r="N127" s="24"/>
      <c r="O127" s="2"/>
      <c r="P127" s="2"/>
    </row>
    <row r="128" spans="2:16" ht="15.75" customHeight="1" x14ac:dyDescent="0.25">
      <c r="B128" s="2"/>
      <c r="C128" s="2"/>
      <c r="H128" s="25"/>
      <c r="I128" s="24"/>
      <c r="J128" s="2"/>
      <c r="K128" s="2"/>
      <c r="L128" s="2"/>
      <c r="N128" s="24"/>
      <c r="O128" s="2"/>
      <c r="P128" s="2"/>
    </row>
    <row r="129" spans="2:16" ht="15.75" customHeight="1" x14ac:dyDescent="0.25">
      <c r="B129" s="2"/>
      <c r="C129" s="2"/>
      <c r="H129" s="25"/>
      <c r="I129" s="24"/>
      <c r="J129" s="2"/>
      <c r="K129" s="2"/>
      <c r="L129" s="2"/>
      <c r="N129" s="24"/>
      <c r="O129" s="2"/>
      <c r="P129" s="2"/>
    </row>
    <row r="130" spans="2:16" ht="15.75" customHeight="1" x14ac:dyDescent="0.25">
      <c r="B130" s="2"/>
      <c r="C130" s="2"/>
      <c r="H130" s="25"/>
      <c r="I130" s="24"/>
      <c r="J130" s="2"/>
      <c r="K130" s="2"/>
      <c r="L130" s="2"/>
      <c r="N130" s="24"/>
      <c r="O130" s="2"/>
      <c r="P130" s="2"/>
    </row>
    <row r="131" spans="2:16" ht="15.75" customHeight="1" x14ac:dyDescent="0.25">
      <c r="B131" s="2"/>
      <c r="C131" s="2"/>
      <c r="H131" s="25"/>
      <c r="I131" s="24"/>
      <c r="J131" s="2"/>
      <c r="K131" s="2"/>
      <c r="L131" s="2"/>
      <c r="N131" s="24"/>
      <c r="O131" s="2"/>
      <c r="P131" s="2"/>
    </row>
    <row r="132" spans="2:16" ht="15.75" customHeight="1" x14ac:dyDescent="0.25">
      <c r="B132" s="2"/>
      <c r="C132" s="2"/>
      <c r="H132" s="25"/>
      <c r="I132" s="24"/>
      <c r="J132" s="2"/>
      <c r="K132" s="2"/>
      <c r="L132" s="2"/>
      <c r="N132" s="24"/>
      <c r="O132" s="2"/>
      <c r="P132" s="2"/>
    </row>
    <row r="133" spans="2:16" ht="15.75" customHeight="1" x14ac:dyDescent="0.25">
      <c r="B133" s="2"/>
      <c r="C133" s="2"/>
      <c r="H133" s="25"/>
      <c r="I133" s="24"/>
      <c r="J133" s="2"/>
      <c r="K133" s="2"/>
      <c r="L133" s="2"/>
      <c r="N133" s="24"/>
      <c r="O133" s="2"/>
      <c r="P133" s="2"/>
    </row>
    <row r="134" spans="2:16" ht="15.75" customHeight="1" x14ac:dyDescent="0.25">
      <c r="B134" s="2"/>
      <c r="C134" s="2"/>
      <c r="H134" s="25"/>
      <c r="I134" s="24"/>
      <c r="J134" s="2"/>
      <c r="K134" s="2"/>
      <c r="L134" s="2"/>
      <c r="N134" s="24"/>
      <c r="O134" s="2"/>
      <c r="P134" s="2"/>
    </row>
    <row r="135" spans="2:16" ht="15.75" customHeight="1" x14ac:dyDescent="0.25">
      <c r="B135" s="2"/>
      <c r="C135" s="2"/>
      <c r="H135" s="25"/>
      <c r="I135" s="24"/>
      <c r="J135" s="2"/>
      <c r="K135" s="2"/>
      <c r="L135" s="2"/>
      <c r="N135" s="24"/>
      <c r="O135" s="2"/>
      <c r="P135" s="2"/>
    </row>
    <row r="136" spans="2:16" ht="15.75" customHeight="1" x14ac:dyDescent="0.25">
      <c r="B136" s="2"/>
      <c r="C136" s="2"/>
      <c r="H136" s="25"/>
      <c r="I136" s="24"/>
      <c r="J136" s="2"/>
      <c r="K136" s="2"/>
      <c r="L136" s="2"/>
      <c r="N136" s="24"/>
      <c r="O136" s="2"/>
      <c r="P136" s="2"/>
    </row>
    <row r="137" spans="2:16" ht="15.75" customHeight="1" x14ac:dyDescent="0.25">
      <c r="B137" s="2"/>
      <c r="C137" s="2"/>
      <c r="H137" s="25"/>
      <c r="I137" s="24"/>
      <c r="J137" s="2"/>
      <c r="K137" s="2"/>
      <c r="L137" s="2"/>
      <c r="N137" s="24"/>
      <c r="O137" s="2"/>
      <c r="P137" s="2"/>
    </row>
    <row r="138" spans="2:16" ht="15.75" customHeight="1" x14ac:dyDescent="0.25">
      <c r="B138" s="2"/>
      <c r="C138" s="2"/>
      <c r="H138" s="25"/>
      <c r="I138" s="24"/>
      <c r="J138" s="2"/>
      <c r="K138" s="2"/>
      <c r="L138" s="2"/>
      <c r="N138" s="24"/>
      <c r="O138" s="2"/>
      <c r="P138" s="2"/>
    </row>
    <row r="139" spans="2:16" ht="15.75" customHeight="1" x14ac:dyDescent="0.25">
      <c r="B139" s="2"/>
      <c r="C139" s="2"/>
      <c r="H139" s="25"/>
      <c r="I139" s="24"/>
      <c r="J139" s="2"/>
      <c r="K139" s="2"/>
      <c r="L139" s="2"/>
      <c r="N139" s="24"/>
      <c r="O139" s="2"/>
      <c r="P139" s="2"/>
    </row>
    <row r="140" spans="2:16" ht="15.75" customHeight="1" x14ac:dyDescent="0.25">
      <c r="B140" s="2"/>
      <c r="C140" s="2"/>
      <c r="H140" s="25"/>
      <c r="I140" s="24"/>
      <c r="J140" s="2"/>
      <c r="K140" s="2"/>
      <c r="L140" s="2"/>
      <c r="N140" s="24"/>
      <c r="O140" s="2"/>
      <c r="P140" s="2"/>
    </row>
    <row r="141" spans="2:16" ht="15.75" customHeight="1" x14ac:dyDescent="0.25">
      <c r="B141" s="2"/>
      <c r="C141" s="2"/>
      <c r="H141" s="25"/>
      <c r="I141" s="24"/>
      <c r="J141" s="2"/>
      <c r="K141" s="2"/>
      <c r="L141" s="2"/>
      <c r="N141" s="24"/>
      <c r="O141" s="2"/>
      <c r="P141" s="2"/>
    </row>
    <row r="142" spans="2:16" ht="15.75" customHeight="1" x14ac:dyDescent="0.25">
      <c r="B142" s="2"/>
      <c r="C142" s="2"/>
      <c r="H142" s="25"/>
      <c r="I142" s="24"/>
      <c r="J142" s="2"/>
      <c r="K142" s="2"/>
      <c r="L142" s="2"/>
      <c r="N142" s="24"/>
      <c r="O142" s="2"/>
      <c r="P142" s="2"/>
    </row>
    <row r="143" spans="2:16" ht="15.75" customHeight="1" x14ac:dyDescent="0.25">
      <c r="B143" s="2"/>
      <c r="C143" s="2"/>
      <c r="H143" s="25"/>
      <c r="I143" s="24"/>
      <c r="J143" s="2"/>
      <c r="K143" s="2"/>
      <c r="L143" s="2"/>
      <c r="N143" s="24"/>
      <c r="O143" s="2"/>
      <c r="P143" s="2"/>
    </row>
    <row r="144" spans="2:16" ht="15.75" customHeight="1" x14ac:dyDescent="0.25">
      <c r="B144" s="2"/>
      <c r="C144" s="2"/>
      <c r="H144" s="25"/>
      <c r="I144" s="24"/>
      <c r="J144" s="2"/>
      <c r="K144" s="2"/>
      <c r="L144" s="2"/>
      <c r="N144" s="24"/>
      <c r="O144" s="2"/>
      <c r="P144" s="2"/>
    </row>
    <row r="145" spans="2:16" ht="15.75" customHeight="1" x14ac:dyDescent="0.25">
      <c r="B145" s="2"/>
      <c r="C145" s="2"/>
      <c r="H145" s="25"/>
      <c r="I145" s="24"/>
      <c r="J145" s="2"/>
      <c r="K145" s="2"/>
      <c r="L145" s="2"/>
      <c r="N145" s="24"/>
      <c r="O145" s="2"/>
      <c r="P145" s="2"/>
    </row>
    <row r="146" spans="2:16" ht="15.75" customHeight="1" x14ac:dyDescent="0.25">
      <c r="B146" s="2"/>
      <c r="C146" s="2"/>
      <c r="H146" s="25"/>
      <c r="I146" s="24"/>
      <c r="J146" s="2"/>
      <c r="K146" s="2"/>
      <c r="L146" s="2"/>
      <c r="N146" s="24"/>
      <c r="O146" s="2"/>
      <c r="P146" s="2"/>
    </row>
    <row r="147" spans="2:16" ht="15.75" customHeight="1" x14ac:dyDescent="0.25">
      <c r="B147" s="2"/>
      <c r="C147" s="2"/>
      <c r="H147" s="25"/>
      <c r="I147" s="24"/>
      <c r="J147" s="2"/>
      <c r="K147" s="2"/>
      <c r="L147" s="2"/>
      <c r="N147" s="24"/>
      <c r="O147" s="2"/>
      <c r="P147" s="2"/>
    </row>
    <row r="148" spans="2:16" ht="15.75" customHeight="1" x14ac:dyDescent="0.25">
      <c r="B148" s="2"/>
      <c r="C148" s="2"/>
      <c r="H148" s="25"/>
      <c r="I148" s="24"/>
      <c r="J148" s="2"/>
      <c r="K148" s="2"/>
      <c r="L148" s="2"/>
      <c r="N148" s="24"/>
      <c r="O148" s="2"/>
      <c r="P148" s="2"/>
    </row>
    <row r="149" spans="2:16" ht="15.75" customHeight="1" x14ac:dyDescent="0.25">
      <c r="B149" s="2"/>
      <c r="C149" s="2"/>
      <c r="H149" s="25"/>
      <c r="I149" s="24"/>
      <c r="J149" s="2"/>
      <c r="K149" s="2"/>
      <c r="L149" s="2"/>
      <c r="N149" s="24"/>
      <c r="O149" s="2"/>
      <c r="P149" s="2"/>
    </row>
    <row r="150" spans="2:16" ht="15.75" customHeight="1" x14ac:dyDescent="0.25">
      <c r="B150" s="2"/>
      <c r="C150" s="2"/>
      <c r="H150" s="25"/>
      <c r="I150" s="24"/>
      <c r="J150" s="2"/>
      <c r="K150" s="2"/>
      <c r="L150" s="2"/>
      <c r="N150" s="24"/>
      <c r="O150" s="2"/>
      <c r="P150" s="2"/>
    </row>
    <row r="151" spans="2:16" ht="15.75" customHeight="1" x14ac:dyDescent="0.25">
      <c r="B151" s="2"/>
      <c r="C151" s="2"/>
      <c r="H151" s="25"/>
      <c r="I151" s="24"/>
      <c r="J151" s="2"/>
      <c r="K151" s="2"/>
      <c r="L151" s="2"/>
      <c r="N151" s="24"/>
      <c r="O151" s="2"/>
      <c r="P151" s="2"/>
    </row>
    <row r="152" spans="2:16" ht="15.75" customHeight="1" x14ac:dyDescent="0.25">
      <c r="B152" s="2"/>
      <c r="C152" s="2"/>
      <c r="H152" s="25"/>
      <c r="I152" s="24"/>
      <c r="J152" s="2"/>
      <c r="K152" s="2"/>
      <c r="L152" s="2"/>
      <c r="N152" s="24"/>
      <c r="O152" s="2"/>
      <c r="P152" s="2"/>
    </row>
    <row r="153" spans="2:16" ht="15.75" customHeight="1" x14ac:dyDescent="0.25">
      <c r="B153" s="2"/>
      <c r="C153" s="2"/>
      <c r="H153" s="25"/>
      <c r="I153" s="24"/>
      <c r="J153" s="2"/>
      <c r="K153" s="2"/>
      <c r="L153" s="2"/>
      <c r="N153" s="24"/>
      <c r="O153" s="2"/>
      <c r="P153" s="2"/>
    </row>
    <row r="154" spans="2:16" ht="15.75" customHeight="1" x14ac:dyDescent="0.25">
      <c r="B154" s="2"/>
      <c r="C154" s="2"/>
      <c r="H154" s="25"/>
      <c r="I154" s="24"/>
      <c r="J154" s="2"/>
      <c r="K154" s="2"/>
      <c r="L154" s="2"/>
      <c r="N154" s="24"/>
      <c r="O154" s="2"/>
      <c r="P154" s="2"/>
    </row>
    <row r="155" spans="2:16" ht="15.75" customHeight="1" x14ac:dyDescent="0.25">
      <c r="B155" s="2"/>
      <c r="C155" s="2"/>
      <c r="H155" s="25"/>
      <c r="I155" s="24"/>
      <c r="J155" s="2"/>
      <c r="K155" s="2"/>
      <c r="L155" s="2"/>
      <c r="N155" s="24"/>
      <c r="O155" s="2"/>
      <c r="P155" s="2"/>
    </row>
    <row r="156" spans="2:16" ht="15.75" customHeight="1" x14ac:dyDescent="0.25">
      <c r="B156" s="2"/>
      <c r="C156" s="2"/>
      <c r="H156" s="25"/>
      <c r="I156" s="24"/>
      <c r="J156" s="2"/>
      <c r="K156" s="2"/>
      <c r="L156" s="2"/>
      <c r="N156" s="24"/>
      <c r="O156" s="2"/>
      <c r="P156" s="2"/>
    </row>
    <row r="157" spans="2:16" ht="15.75" customHeight="1" x14ac:dyDescent="0.25">
      <c r="B157" s="2"/>
      <c r="C157" s="2"/>
      <c r="H157" s="25"/>
      <c r="I157" s="24"/>
      <c r="J157" s="2"/>
      <c r="K157" s="2"/>
      <c r="L157" s="2"/>
      <c r="N157" s="24"/>
      <c r="O157" s="2"/>
      <c r="P157" s="2"/>
    </row>
    <row r="158" spans="2:16" ht="15.75" customHeight="1" x14ac:dyDescent="0.25">
      <c r="B158" s="2"/>
      <c r="C158" s="2"/>
      <c r="H158" s="25"/>
      <c r="I158" s="24"/>
      <c r="J158" s="2"/>
      <c r="K158" s="2"/>
      <c r="L158" s="2"/>
      <c r="N158" s="24"/>
      <c r="O158" s="2"/>
      <c r="P158" s="2"/>
    </row>
    <row r="159" spans="2:16" ht="15.75" customHeight="1" x14ac:dyDescent="0.25">
      <c r="B159" s="2"/>
      <c r="C159" s="2"/>
      <c r="H159" s="25"/>
      <c r="I159" s="24"/>
      <c r="J159" s="2"/>
      <c r="K159" s="2"/>
      <c r="L159" s="2"/>
      <c r="N159" s="24"/>
      <c r="O159" s="2"/>
      <c r="P159" s="2"/>
    </row>
    <row r="160" spans="2:16" ht="15.75" customHeight="1" x14ac:dyDescent="0.25">
      <c r="B160" s="2"/>
      <c r="C160" s="2"/>
      <c r="H160" s="25"/>
      <c r="I160" s="24"/>
      <c r="J160" s="2"/>
      <c r="K160" s="2"/>
      <c r="L160" s="2"/>
      <c r="N160" s="24"/>
      <c r="O160" s="2"/>
      <c r="P160" s="2"/>
    </row>
    <row r="161" spans="2:16" ht="15.75" customHeight="1" x14ac:dyDescent="0.25">
      <c r="B161" s="2"/>
      <c r="C161" s="2"/>
      <c r="H161" s="25"/>
      <c r="I161" s="24"/>
      <c r="J161" s="2"/>
      <c r="K161" s="2"/>
      <c r="L161" s="2"/>
      <c r="N161" s="24"/>
      <c r="O161" s="2"/>
      <c r="P161" s="2"/>
    </row>
    <row r="162" spans="2:16" ht="15.75" customHeight="1" x14ac:dyDescent="0.25">
      <c r="B162" s="2"/>
      <c r="C162" s="2"/>
      <c r="H162" s="25"/>
      <c r="I162" s="24"/>
      <c r="J162" s="2"/>
      <c r="K162" s="2"/>
      <c r="L162" s="2"/>
      <c r="N162" s="24"/>
      <c r="O162" s="2"/>
      <c r="P162" s="2"/>
    </row>
    <row r="163" spans="2:16" ht="15.75" customHeight="1" x14ac:dyDescent="0.25">
      <c r="B163" s="2"/>
      <c r="C163" s="2"/>
      <c r="H163" s="25"/>
      <c r="I163" s="24"/>
      <c r="J163" s="2"/>
      <c r="K163" s="2"/>
      <c r="L163" s="2"/>
      <c r="N163" s="24"/>
      <c r="O163" s="2"/>
      <c r="P163" s="2"/>
    </row>
    <row r="164" spans="2:16" ht="15.75" customHeight="1" x14ac:dyDescent="0.25">
      <c r="B164" s="2"/>
      <c r="C164" s="2"/>
      <c r="H164" s="25"/>
      <c r="I164" s="24"/>
      <c r="J164" s="2"/>
      <c r="K164" s="2"/>
      <c r="L164" s="2"/>
      <c r="N164" s="24"/>
      <c r="O164" s="2"/>
      <c r="P164" s="2"/>
    </row>
    <row r="165" spans="2:16" ht="15.75" customHeight="1" x14ac:dyDescent="0.25">
      <c r="B165" s="2"/>
      <c r="C165" s="2"/>
      <c r="H165" s="25"/>
      <c r="I165" s="24"/>
      <c r="J165" s="2"/>
      <c r="K165" s="2"/>
      <c r="L165" s="2"/>
      <c r="N165" s="24"/>
      <c r="O165" s="2"/>
      <c r="P165" s="2"/>
    </row>
    <row r="166" spans="2:16" ht="15.75" customHeight="1" x14ac:dyDescent="0.25">
      <c r="B166" s="2"/>
      <c r="C166" s="2"/>
      <c r="H166" s="25"/>
      <c r="I166" s="24"/>
      <c r="J166" s="2"/>
      <c r="K166" s="2"/>
      <c r="L166" s="2"/>
      <c r="N166" s="24"/>
      <c r="O166" s="2"/>
      <c r="P166" s="2"/>
    </row>
    <row r="167" spans="2:16" ht="15.75" customHeight="1" x14ac:dyDescent="0.25">
      <c r="B167" s="2"/>
      <c r="C167" s="2"/>
      <c r="H167" s="25"/>
      <c r="I167" s="24"/>
      <c r="J167" s="2"/>
      <c r="K167" s="2"/>
      <c r="L167" s="2"/>
      <c r="N167" s="24"/>
      <c r="O167" s="2"/>
      <c r="P167" s="2"/>
    </row>
    <row r="168" spans="2:16" ht="15.75" customHeight="1" x14ac:dyDescent="0.25">
      <c r="B168" s="2"/>
      <c r="C168" s="2"/>
      <c r="H168" s="25"/>
      <c r="I168" s="24"/>
      <c r="J168" s="2"/>
      <c r="K168" s="2"/>
      <c r="L168" s="2"/>
      <c r="N168" s="24"/>
      <c r="O168" s="2"/>
      <c r="P168" s="2"/>
    </row>
    <row r="169" spans="2:16" ht="15.75" customHeight="1" x14ac:dyDescent="0.25">
      <c r="B169" s="2"/>
      <c r="C169" s="2"/>
      <c r="H169" s="25"/>
      <c r="I169" s="24"/>
      <c r="J169" s="2"/>
      <c r="K169" s="2"/>
      <c r="L169" s="2"/>
      <c r="N169" s="24"/>
      <c r="O169" s="2"/>
      <c r="P169" s="2"/>
    </row>
    <row r="170" spans="2:16" ht="15.75" customHeight="1" x14ac:dyDescent="0.25">
      <c r="B170" s="2"/>
      <c r="C170" s="2"/>
      <c r="H170" s="25"/>
      <c r="I170" s="24"/>
      <c r="J170" s="2"/>
      <c r="K170" s="2"/>
      <c r="L170" s="2"/>
      <c r="N170" s="24"/>
      <c r="O170" s="2"/>
      <c r="P170" s="2"/>
    </row>
    <row r="171" spans="2:16" ht="15.75" customHeight="1" x14ac:dyDescent="0.25">
      <c r="B171" s="2"/>
      <c r="C171" s="2"/>
      <c r="H171" s="25"/>
      <c r="I171" s="24"/>
      <c r="J171" s="2"/>
      <c r="K171" s="2"/>
      <c r="L171" s="2"/>
      <c r="N171" s="24"/>
      <c r="O171" s="2"/>
      <c r="P171" s="2"/>
    </row>
    <row r="172" spans="2:16" ht="15.75" customHeight="1" x14ac:dyDescent="0.25">
      <c r="B172" s="2"/>
      <c r="C172" s="2"/>
      <c r="H172" s="25"/>
      <c r="I172" s="24"/>
      <c r="J172" s="2"/>
      <c r="K172" s="2"/>
      <c r="L172" s="2"/>
      <c r="N172" s="24"/>
      <c r="O172" s="2"/>
      <c r="P172" s="2"/>
    </row>
    <row r="173" spans="2:16" ht="15.75" customHeight="1" x14ac:dyDescent="0.25">
      <c r="B173" s="2"/>
      <c r="C173" s="2"/>
      <c r="H173" s="25"/>
      <c r="I173" s="24"/>
      <c r="J173" s="2"/>
      <c r="K173" s="2"/>
      <c r="L173" s="2"/>
      <c r="N173" s="24"/>
      <c r="O173" s="2"/>
      <c r="P173" s="2"/>
    </row>
    <row r="174" spans="2:16" ht="15.75" customHeight="1" x14ac:dyDescent="0.25">
      <c r="B174" s="2"/>
      <c r="C174" s="2"/>
      <c r="H174" s="25"/>
      <c r="I174" s="24"/>
      <c r="J174" s="2"/>
      <c r="K174" s="2"/>
      <c r="L174" s="2"/>
      <c r="N174" s="24"/>
      <c r="O174" s="2"/>
      <c r="P174" s="2"/>
    </row>
    <row r="175" spans="2:16" ht="15.75" customHeight="1" x14ac:dyDescent="0.25">
      <c r="B175" s="2"/>
      <c r="C175" s="2"/>
      <c r="H175" s="25"/>
      <c r="I175" s="24"/>
      <c r="J175" s="2"/>
      <c r="K175" s="2"/>
      <c r="L175" s="2"/>
      <c r="N175" s="24"/>
      <c r="O175" s="2"/>
      <c r="P175" s="2"/>
    </row>
    <row r="176" spans="2:16" ht="15.75" customHeight="1" x14ac:dyDescent="0.25">
      <c r="B176" s="2"/>
      <c r="C176" s="2"/>
      <c r="H176" s="25"/>
      <c r="I176" s="24"/>
      <c r="J176" s="2"/>
      <c r="K176" s="2"/>
      <c r="L176" s="2"/>
      <c r="N176" s="24"/>
      <c r="O176" s="2"/>
      <c r="P176" s="2"/>
    </row>
    <row r="177" spans="2:16" ht="15.75" customHeight="1" x14ac:dyDescent="0.25">
      <c r="B177" s="2"/>
      <c r="C177" s="2"/>
      <c r="H177" s="25"/>
      <c r="I177" s="24"/>
      <c r="J177" s="2"/>
      <c r="K177" s="2"/>
      <c r="L177" s="2"/>
      <c r="N177" s="24"/>
      <c r="O177" s="2"/>
      <c r="P177" s="2"/>
    </row>
    <row r="178" spans="2:16" ht="15.75" customHeight="1" x14ac:dyDescent="0.25">
      <c r="B178" s="2"/>
      <c r="C178" s="2"/>
      <c r="H178" s="25"/>
      <c r="I178" s="24"/>
      <c r="J178" s="2"/>
      <c r="K178" s="2"/>
      <c r="L178" s="2"/>
      <c r="N178" s="24"/>
      <c r="O178" s="2"/>
      <c r="P178" s="2"/>
    </row>
    <row r="179" spans="2:16" ht="15.75" customHeight="1" x14ac:dyDescent="0.25">
      <c r="B179" s="2"/>
      <c r="C179" s="2"/>
      <c r="H179" s="25"/>
      <c r="I179" s="24"/>
      <c r="J179" s="2"/>
      <c r="K179" s="2"/>
      <c r="L179" s="2"/>
      <c r="N179" s="24"/>
      <c r="O179" s="2"/>
      <c r="P179" s="2"/>
    </row>
    <row r="180" spans="2:16" ht="15.75" customHeight="1" x14ac:dyDescent="0.25">
      <c r="B180" s="2"/>
      <c r="C180" s="2"/>
      <c r="H180" s="25"/>
      <c r="I180" s="24"/>
      <c r="J180" s="2"/>
      <c r="K180" s="2"/>
      <c r="L180" s="2"/>
      <c r="N180" s="24"/>
      <c r="O180" s="2"/>
      <c r="P180" s="2"/>
    </row>
    <row r="181" spans="2:16" ht="15.75" customHeight="1" x14ac:dyDescent="0.25">
      <c r="B181" s="2"/>
      <c r="C181" s="2"/>
      <c r="H181" s="25"/>
      <c r="I181" s="24"/>
      <c r="J181" s="2"/>
      <c r="K181" s="2"/>
      <c r="L181" s="2"/>
      <c r="N181" s="24"/>
      <c r="O181" s="2"/>
      <c r="P181" s="2"/>
    </row>
    <row r="182" spans="2:16" ht="15.75" customHeight="1" x14ac:dyDescent="0.25">
      <c r="B182" s="2"/>
      <c r="C182" s="2"/>
      <c r="H182" s="25"/>
      <c r="I182" s="24"/>
      <c r="J182" s="2"/>
      <c r="K182" s="2"/>
      <c r="L182" s="2"/>
      <c r="N182" s="24"/>
      <c r="O182" s="2"/>
      <c r="P182" s="2"/>
    </row>
    <row r="183" spans="2:16" ht="15.75" customHeight="1" x14ac:dyDescent="0.25">
      <c r="B183" s="2"/>
      <c r="C183" s="2"/>
      <c r="H183" s="25"/>
      <c r="I183" s="24"/>
      <c r="J183" s="2"/>
      <c r="K183" s="2"/>
      <c r="L183" s="2"/>
      <c r="N183" s="24"/>
      <c r="O183" s="2"/>
      <c r="P183" s="2"/>
    </row>
    <row r="184" spans="2:16" ht="15.75" customHeight="1" x14ac:dyDescent="0.25">
      <c r="B184" s="2"/>
      <c r="C184" s="2"/>
      <c r="H184" s="25"/>
      <c r="I184" s="24"/>
      <c r="J184" s="2"/>
      <c r="K184" s="2"/>
      <c r="L184" s="2"/>
      <c r="N184" s="24"/>
      <c r="O184" s="2"/>
      <c r="P184" s="2"/>
    </row>
    <row r="185" spans="2:16" ht="15.75" customHeight="1" x14ac:dyDescent="0.25">
      <c r="B185" s="2"/>
      <c r="C185" s="2"/>
      <c r="H185" s="25"/>
      <c r="I185" s="24"/>
      <c r="J185" s="2"/>
      <c r="K185" s="2"/>
      <c r="L185" s="2"/>
      <c r="N185" s="24"/>
      <c r="O185" s="2"/>
      <c r="P185" s="2"/>
    </row>
    <row r="186" spans="2:16" ht="15.75" customHeight="1" x14ac:dyDescent="0.25">
      <c r="B186" s="2"/>
      <c r="C186" s="2"/>
      <c r="H186" s="25"/>
      <c r="I186" s="24"/>
      <c r="J186" s="2"/>
      <c r="K186" s="2"/>
      <c r="L186" s="2"/>
      <c r="N186" s="24"/>
      <c r="O186" s="2"/>
      <c r="P186" s="2"/>
    </row>
    <row r="187" spans="2:16" ht="15.75" customHeight="1" x14ac:dyDescent="0.25">
      <c r="B187" s="2"/>
      <c r="C187" s="2"/>
      <c r="H187" s="25"/>
      <c r="I187" s="24"/>
      <c r="J187" s="2"/>
      <c r="K187" s="2"/>
      <c r="L187" s="2"/>
      <c r="N187" s="24"/>
      <c r="O187" s="2"/>
      <c r="P187" s="2"/>
    </row>
    <row r="188" spans="2:16" ht="15.75" customHeight="1" x14ac:dyDescent="0.25">
      <c r="B188" s="2"/>
      <c r="C188" s="2"/>
      <c r="H188" s="25"/>
      <c r="I188" s="24"/>
      <c r="J188" s="2"/>
      <c r="K188" s="2"/>
      <c r="L188" s="2"/>
      <c r="N188" s="24"/>
      <c r="O188" s="2"/>
      <c r="P188" s="2"/>
    </row>
    <row r="189" spans="2:16" ht="15.75" customHeight="1" x14ac:dyDescent="0.25">
      <c r="B189" s="2"/>
      <c r="C189" s="2"/>
      <c r="H189" s="25"/>
      <c r="I189" s="24"/>
      <c r="J189" s="2"/>
      <c r="K189" s="2"/>
      <c r="L189" s="2"/>
      <c r="N189" s="24"/>
      <c r="O189" s="2"/>
      <c r="P189" s="2"/>
    </row>
    <row r="190" spans="2:16" ht="15.75" customHeight="1" x14ac:dyDescent="0.25">
      <c r="B190" s="2"/>
      <c r="C190" s="2"/>
      <c r="H190" s="25"/>
      <c r="I190" s="24"/>
      <c r="J190" s="2"/>
      <c r="K190" s="2"/>
      <c r="L190" s="2"/>
      <c r="N190" s="24"/>
      <c r="O190" s="2"/>
      <c r="P190" s="2"/>
    </row>
    <row r="191" spans="2:16" ht="15.75" customHeight="1" x14ac:dyDescent="0.25">
      <c r="B191" s="2"/>
      <c r="C191" s="2"/>
      <c r="H191" s="25"/>
      <c r="I191" s="24"/>
      <c r="J191" s="2"/>
      <c r="K191" s="2"/>
      <c r="L191" s="2"/>
      <c r="N191" s="24"/>
      <c r="O191" s="2"/>
      <c r="P191" s="2"/>
    </row>
    <row r="192" spans="2:16" ht="15.75" customHeight="1" x14ac:dyDescent="0.25">
      <c r="B192" s="2"/>
      <c r="C192" s="2"/>
      <c r="H192" s="25"/>
      <c r="I192" s="24"/>
      <c r="J192" s="2"/>
      <c r="K192" s="2"/>
      <c r="L192" s="2"/>
      <c r="N192" s="24"/>
      <c r="O192" s="2"/>
      <c r="P192" s="2"/>
    </row>
    <row r="193" spans="2:16" ht="15.75" customHeight="1" x14ac:dyDescent="0.25">
      <c r="B193" s="2"/>
      <c r="C193" s="2"/>
      <c r="H193" s="25"/>
      <c r="I193" s="24"/>
      <c r="J193" s="2"/>
      <c r="K193" s="2"/>
      <c r="L193" s="2"/>
      <c r="N193" s="24"/>
      <c r="O193" s="2"/>
      <c r="P193" s="2"/>
    </row>
    <row r="194" spans="2:16" ht="15.75" customHeight="1" x14ac:dyDescent="0.25">
      <c r="B194" s="2"/>
      <c r="C194" s="2"/>
      <c r="H194" s="25"/>
      <c r="I194" s="24"/>
      <c r="J194" s="2"/>
      <c r="K194" s="2"/>
      <c r="L194" s="2"/>
      <c r="N194" s="24"/>
      <c r="O194" s="2"/>
      <c r="P194" s="2"/>
    </row>
    <row r="195" spans="2:16" ht="15.75" customHeight="1" x14ac:dyDescent="0.25">
      <c r="B195" s="2"/>
      <c r="C195" s="2"/>
      <c r="H195" s="25"/>
      <c r="I195" s="24"/>
      <c r="J195" s="2"/>
      <c r="K195" s="2"/>
      <c r="L195" s="2"/>
      <c r="N195" s="24"/>
      <c r="O195" s="2"/>
      <c r="P195" s="2"/>
    </row>
    <row r="196" spans="2:16" ht="15.75" customHeight="1" x14ac:dyDescent="0.25">
      <c r="B196" s="2"/>
      <c r="C196" s="2"/>
      <c r="H196" s="25"/>
      <c r="I196" s="24"/>
      <c r="J196" s="2"/>
      <c r="K196" s="2"/>
      <c r="L196" s="2"/>
      <c r="N196" s="24"/>
      <c r="O196" s="2"/>
      <c r="P196" s="2"/>
    </row>
    <row r="197" spans="2:16" ht="15.75" customHeight="1" x14ac:dyDescent="0.25">
      <c r="B197" s="2"/>
      <c r="C197" s="2"/>
      <c r="H197" s="25"/>
      <c r="I197" s="24"/>
      <c r="J197" s="2"/>
      <c r="K197" s="2"/>
      <c r="L197" s="2"/>
      <c r="N197" s="24"/>
      <c r="O197" s="2"/>
      <c r="P197" s="2"/>
    </row>
    <row r="198" spans="2:16" ht="15.75" customHeight="1" x14ac:dyDescent="0.25">
      <c r="B198" s="2"/>
      <c r="C198" s="2"/>
      <c r="H198" s="25"/>
      <c r="I198" s="24"/>
      <c r="J198" s="2"/>
      <c r="K198" s="2"/>
      <c r="L198" s="2"/>
      <c r="N198" s="24"/>
      <c r="O198" s="2"/>
      <c r="P198" s="2"/>
    </row>
    <row r="199" spans="2:16" ht="15.75" customHeight="1" x14ac:dyDescent="0.25">
      <c r="B199" s="2"/>
      <c r="C199" s="2"/>
      <c r="H199" s="25"/>
      <c r="I199" s="24"/>
      <c r="J199" s="2"/>
      <c r="K199" s="2"/>
      <c r="L199" s="2"/>
      <c r="N199" s="24"/>
      <c r="O199" s="2"/>
      <c r="P199" s="2"/>
    </row>
    <row r="200" spans="2:16" ht="15.75" customHeight="1" x14ac:dyDescent="0.25">
      <c r="B200" s="2"/>
      <c r="C200" s="2"/>
      <c r="H200" s="25"/>
      <c r="I200" s="24"/>
      <c r="J200" s="2"/>
      <c r="K200" s="2"/>
      <c r="L200" s="2"/>
      <c r="N200" s="24"/>
      <c r="O200" s="2"/>
      <c r="P200" s="2"/>
    </row>
    <row r="201" spans="2:16" ht="15.75" customHeight="1" x14ac:dyDescent="0.25">
      <c r="B201" s="2"/>
      <c r="C201" s="2"/>
      <c r="H201" s="25"/>
      <c r="I201" s="24"/>
      <c r="J201" s="2"/>
      <c r="K201" s="2"/>
      <c r="L201" s="2"/>
      <c r="N201" s="24"/>
      <c r="O201" s="2"/>
      <c r="P201" s="2"/>
    </row>
    <row r="202" spans="2:16" ht="15.75" customHeight="1" x14ac:dyDescent="0.25">
      <c r="B202" s="2"/>
      <c r="C202" s="2"/>
      <c r="H202" s="25"/>
      <c r="I202" s="24"/>
      <c r="J202" s="2"/>
      <c r="K202" s="2"/>
      <c r="L202" s="2"/>
      <c r="N202" s="24"/>
      <c r="O202" s="2"/>
      <c r="P202" s="2"/>
    </row>
    <row r="203" spans="2:16" ht="15.75" customHeight="1" x14ac:dyDescent="0.25">
      <c r="B203" s="2"/>
      <c r="C203" s="2"/>
      <c r="H203" s="25"/>
      <c r="I203" s="24"/>
      <c r="J203" s="2"/>
      <c r="K203" s="2"/>
      <c r="L203" s="2"/>
      <c r="N203" s="24"/>
      <c r="O203" s="2"/>
      <c r="P203" s="2"/>
    </row>
    <row r="204" spans="2:16" ht="15.75" customHeight="1" x14ac:dyDescent="0.25">
      <c r="B204" s="2"/>
      <c r="C204" s="2"/>
      <c r="H204" s="25"/>
      <c r="I204" s="24"/>
      <c r="J204" s="2"/>
      <c r="K204" s="2"/>
      <c r="L204" s="2"/>
      <c r="N204" s="24"/>
      <c r="O204" s="2"/>
      <c r="P204" s="2"/>
    </row>
    <row r="205" spans="2:16" ht="15.75" customHeight="1" x14ac:dyDescent="0.25">
      <c r="B205" s="2"/>
      <c r="C205" s="2"/>
      <c r="H205" s="25"/>
      <c r="I205" s="24"/>
      <c r="J205" s="2"/>
      <c r="K205" s="2"/>
      <c r="L205" s="2"/>
      <c r="N205" s="24"/>
      <c r="O205" s="2"/>
      <c r="P205" s="2"/>
    </row>
    <row r="206" spans="2:16" ht="15.75" customHeight="1" x14ac:dyDescent="0.25">
      <c r="B206" s="2"/>
      <c r="C206" s="2"/>
      <c r="H206" s="25"/>
      <c r="I206" s="24"/>
      <c r="J206" s="2"/>
      <c r="K206" s="2"/>
      <c r="L206" s="2"/>
      <c r="N206" s="24"/>
      <c r="O206" s="2"/>
      <c r="P206" s="2"/>
    </row>
    <row r="207" spans="2:16" ht="15.75" customHeight="1" x14ac:dyDescent="0.25">
      <c r="B207" s="2"/>
      <c r="C207" s="2"/>
      <c r="H207" s="25"/>
      <c r="I207" s="24"/>
      <c r="J207" s="2"/>
      <c r="K207" s="2"/>
      <c r="L207" s="2"/>
      <c r="N207" s="24"/>
      <c r="O207" s="2"/>
      <c r="P207" s="2"/>
    </row>
    <row r="208" spans="2:16" ht="15.75" customHeight="1" x14ac:dyDescent="0.25">
      <c r="B208" s="2"/>
      <c r="C208" s="2"/>
      <c r="H208" s="25"/>
      <c r="I208" s="24"/>
      <c r="J208" s="2"/>
      <c r="K208" s="2"/>
      <c r="L208" s="2"/>
      <c r="N208" s="24"/>
      <c r="O208" s="2"/>
      <c r="P208" s="2"/>
    </row>
    <row r="209" spans="2:16" ht="15.75" customHeight="1" x14ac:dyDescent="0.25">
      <c r="B209" s="2"/>
      <c r="C209" s="2"/>
      <c r="H209" s="25"/>
      <c r="I209" s="24"/>
      <c r="J209" s="2"/>
      <c r="K209" s="2"/>
      <c r="L209" s="2"/>
      <c r="N209" s="24"/>
      <c r="O209" s="2"/>
      <c r="P209" s="2"/>
    </row>
    <row r="210" spans="2:16" ht="15.75" customHeight="1" x14ac:dyDescent="0.25">
      <c r="B210" s="2"/>
      <c r="C210" s="2"/>
      <c r="H210" s="25"/>
      <c r="I210" s="24"/>
      <c r="J210" s="2"/>
      <c r="K210" s="2"/>
      <c r="L210" s="2"/>
      <c r="N210" s="24"/>
      <c r="O210" s="2"/>
      <c r="P210" s="2"/>
    </row>
    <row r="211" spans="2:16" ht="15.75" customHeight="1" x14ac:dyDescent="0.25">
      <c r="B211" s="2"/>
      <c r="C211" s="2"/>
      <c r="H211" s="25"/>
      <c r="I211" s="24"/>
      <c r="J211" s="2"/>
      <c r="K211" s="2"/>
      <c r="L211" s="2"/>
      <c r="N211" s="24"/>
      <c r="O211" s="2"/>
      <c r="P211" s="2"/>
    </row>
    <row r="212" spans="2:16" ht="15.75" customHeight="1" x14ac:dyDescent="0.25">
      <c r="B212" s="2"/>
      <c r="C212" s="2"/>
      <c r="H212" s="25"/>
      <c r="I212" s="24"/>
      <c r="J212" s="2"/>
      <c r="K212" s="2"/>
      <c r="L212" s="2"/>
      <c r="N212" s="24"/>
      <c r="O212" s="2"/>
      <c r="P212" s="2"/>
    </row>
    <row r="213" spans="2:16" ht="15.75" customHeight="1" x14ac:dyDescent="0.25">
      <c r="B213" s="2"/>
      <c r="C213" s="2"/>
      <c r="H213" s="25"/>
      <c r="I213" s="24"/>
      <c r="J213" s="2"/>
      <c r="K213" s="2"/>
      <c r="L213" s="2"/>
      <c r="N213" s="24"/>
      <c r="O213" s="2"/>
      <c r="P213" s="2"/>
    </row>
    <row r="214" spans="2:16" ht="15.75" customHeight="1" x14ac:dyDescent="0.25">
      <c r="B214" s="2"/>
      <c r="C214" s="2"/>
      <c r="H214" s="25"/>
      <c r="I214" s="24"/>
      <c r="J214" s="2"/>
      <c r="K214" s="2"/>
      <c r="L214" s="2"/>
      <c r="N214" s="24"/>
      <c r="O214" s="2"/>
      <c r="P214" s="2"/>
    </row>
    <row r="215" spans="2:16" ht="15.75" customHeight="1" x14ac:dyDescent="0.25">
      <c r="B215" s="2"/>
      <c r="C215" s="2"/>
      <c r="H215" s="25"/>
      <c r="I215" s="24"/>
      <c r="J215" s="2"/>
      <c r="K215" s="2"/>
      <c r="L215" s="2"/>
      <c r="N215" s="24"/>
      <c r="O215" s="2"/>
      <c r="P215" s="2"/>
    </row>
    <row r="216" spans="2:16" ht="15.75" customHeight="1" x14ac:dyDescent="0.25">
      <c r="B216" s="2"/>
      <c r="C216" s="2"/>
      <c r="H216" s="25"/>
      <c r="I216" s="24"/>
      <c r="J216" s="2"/>
      <c r="K216" s="2"/>
      <c r="L216" s="2"/>
      <c r="N216" s="24"/>
      <c r="O216" s="2"/>
      <c r="P216" s="2"/>
    </row>
    <row r="217" spans="2:16" ht="15.75" customHeight="1" x14ac:dyDescent="0.25">
      <c r="B217" s="2"/>
      <c r="C217" s="2"/>
      <c r="H217" s="25"/>
      <c r="I217" s="24"/>
      <c r="J217" s="2"/>
      <c r="K217" s="2"/>
      <c r="L217" s="2"/>
      <c r="N217" s="24"/>
      <c r="O217" s="2"/>
      <c r="P217" s="2"/>
    </row>
    <row r="218" spans="2:16" ht="15.75" customHeight="1" x14ac:dyDescent="0.25">
      <c r="B218" s="2"/>
      <c r="C218" s="2"/>
      <c r="H218" s="25"/>
      <c r="I218" s="24"/>
      <c r="J218" s="2"/>
      <c r="K218" s="2"/>
      <c r="L218" s="2"/>
      <c r="N218" s="24"/>
      <c r="O218" s="2"/>
      <c r="P218" s="2"/>
    </row>
    <row r="219" spans="2:16" ht="15.75" customHeight="1" x14ac:dyDescent="0.25">
      <c r="B219" s="2"/>
      <c r="C219" s="2"/>
      <c r="H219" s="25"/>
      <c r="I219" s="24"/>
      <c r="J219" s="2"/>
      <c r="K219" s="2"/>
      <c r="L219" s="2"/>
      <c r="N219" s="24"/>
      <c r="O219" s="2"/>
      <c r="P219" s="2"/>
    </row>
    <row r="220" spans="2:16" ht="15.75" customHeight="1" x14ac:dyDescent="0.25">
      <c r="B220" s="2"/>
      <c r="C220" s="2"/>
      <c r="H220" s="25"/>
      <c r="I220" s="24"/>
      <c r="J220" s="2"/>
      <c r="K220" s="2"/>
      <c r="L220" s="2"/>
      <c r="N220" s="24"/>
      <c r="O220" s="2"/>
      <c r="P220" s="2"/>
    </row>
    <row r="221" spans="2:16" ht="15.75" customHeight="1" x14ac:dyDescent="0.25">
      <c r="B221" s="2"/>
      <c r="C221" s="2"/>
      <c r="H221" s="25"/>
      <c r="I221" s="24"/>
      <c r="J221" s="2"/>
      <c r="K221" s="2"/>
      <c r="L221" s="2"/>
      <c r="N221" s="24"/>
      <c r="O221" s="2"/>
      <c r="P221" s="2"/>
    </row>
    <row r="222" spans="2:16" ht="15.75" customHeight="1" x14ac:dyDescent="0.25">
      <c r="B222" s="2"/>
      <c r="C222" s="2"/>
      <c r="H222" s="25"/>
      <c r="I222" s="24"/>
      <c r="J222" s="2"/>
      <c r="K222" s="2"/>
      <c r="L222" s="2"/>
      <c r="N222" s="24"/>
      <c r="O222" s="2"/>
      <c r="P222" s="2"/>
    </row>
    <row r="223" spans="2:16" ht="15.75" customHeight="1" x14ac:dyDescent="0.25">
      <c r="B223" s="2"/>
      <c r="C223" s="2"/>
      <c r="H223" s="25"/>
      <c r="I223" s="24"/>
      <c r="J223" s="2"/>
      <c r="K223" s="2"/>
      <c r="L223" s="2"/>
      <c r="N223" s="24"/>
      <c r="O223" s="2"/>
      <c r="P223" s="2"/>
    </row>
    <row r="224" spans="2:16" ht="15.75" customHeight="1" x14ac:dyDescent="0.25">
      <c r="B224" s="2"/>
      <c r="C224" s="2"/>
      <c r="H224" s="25"/>
      <c r="I224" s="24"/>
      <c r="J224" s="2"/>
      <c r="K224" s="2"/>
      <c r="L224" s="2"/>
      <c r="N224" s="24"/>
      <c r="O224" s="2"/>
      <c r="P224" s="2"/>
    </row>
    <row r="225" spans="2:16" ht="15.75" customHeight="1" x14ac:dyDescent="0.25">
      <c r="B225" s="2"/>
      <c r="C225" s="2"/>
      <c r="H225" s="25"/>
      <c r="I225" s="24"/>
      <c r="J225" s="2"/>
      <c r="K225" s="2"/>
      <c r="L225" s="2"/>
      <c r="N225" s="24"/>
      <c r="O225" s="2"/>
      <c r="P225" s="2"/>
    </row>
    <row r="226" spans="2:16" ht="15.75" customHeight="1" x14ac:dyDescent="0.25">
      <c r="B226" s="2"/>
      <c r="C226" s="2"/>
      <c r="H226" s="25"/>
      <c r="I226" s="24"/>
      <c r="J226" s="2"/>
      <c r="K226" s="2"/>
      <c r="L226" s="2"/>
      <c r="N226" s="24"/>
      <c r="O226" s="2"/>
      <c r="P226" s="2"/>
    </row>
    <row r="227" spans="2:16" ht="15.75" customHeight="1" x14ac:dyDescent="0.25">
      <c r="B227" s="2"/>
      <c r="C227" s="2"/>
      <c r="H227" s="25"/>
      <c r="I227" s="24"/>
      <c r="J227" s="2"/>
      <c r="K227" s="2"/>
      <c r="L227" s="2"/>
      <c r="N227" s="24"/>
      <c r="O227" s="2"/>
      <c r="P227" s="2"/>
    </row>
    <row r="228" spans="2:16" ht="15.75" customHeight="1" x14ac:dyDescent="0.25">
      <c r="B228" s="2"/>
      <c r="C228" s="2"/>
      <c r="H228" s="25"/>
      <c r="I228" s="24"/>
      <c r="J228" s="2"/>
      <c r="K228" s="2"/>
      <c r="L228" s="2"/>
      <c r="N228" s="24"/>
      <c r="O228" s="2"/>
      <c r="P228" s="2"/>
    </row>
    <row r="229" spans="2:16" ht="15.75" customHeight="1" x14ac:dyDescent="0.25">
      <c r="B229" s="2"/>
      <c r="C229" s="2"/>
      <c r="H229" s="25"/>
      <c r="I229" s="24"/>
      <c r="J229" s="2"/>
      <c r="K229" s="2"/>
      <c r="L229" s="2"/>
      <c r="N229" s="24"/>
      <c r="O229" s="2"/>
      <c r="P229" s="2"/>
    </row>
    <row r="230" spans="2:16" ht="15.75" customHeight="1" x14ac:dyDescent="0.25">
      <c r="B230" s="2"/>
      <c r="C230" s="2"/>
      <c r="H230" s="25"/>
      <c r="I230" s="24"/>
      <c r="J230" s="2"/>
      <c r="K230" s="2"/>
      <c r="L230" s="2"/>
      <c r="N230" s="24"/>
      <c r="O230" s="2"/>
      <c r="P230" s="2"/>
    </row>
    <row r="231" spans="2:16" ht="15.75" customHeight="1" x14ac:dyDescent="0.25">
      <c r="B231" s="2"/>
      <c r="C231" s="2"/>
      <c r="H231" s="25"/>
      <c r="I231" s="24"/>
      <c r="J231" s="2"/>
      <c r="K231" s="2"/>
      <c r="L231" s="2"/>
      <c r="N231" s="24"/>
      <c r="O231" s="2"/>
      <c r="P231" s="2"/>
    </row>
    <row r="232" spans="2:16" ht="15.75" customHeight="1" x14ac:dyDescent="0.25">
      <c r="B232" s="2"/>
      <c r="C232" s="2"/>
      <c r="H232" s="25"/>
      <c r="I232" s="24"/>
      <c r="J232" s="2"/>
      <c r="K232" s="2"/>
      <c r="L232" s="2"/>
      <c r="N232" s="24"/>
      <c r="O232" s="2"/>
      <c r="P232" s="2"/>
    </row>
    <row r="233" spans="2:16" ht="15.75" customHeight="1" x14ac:dyDescent="0.25">
      <c r="B233" s="2"/>
      <c r="C233" s="2"/>
      <c r="H233" s="25"/>
      <c r="I233" s="24"/>
      <c r="J233" s="2"/>
      <c r="K233" s="2"/>
      <c r="L233" s="2"/>
      <c r="N233" s="24"/>
      <c r="O233" s="2"/>
      <c r="P233" s="2"/>
    </row>
    <row r="234" spans="2:16" ht="15.75" customHeight="1" x14ac:dyDescent="0.25">
      <c r="B234" s="2"/>
      <c r="C234" s="2"/>
      <c r="H234" s="25"/>
      <c r="I234" s="24"/>
      <c r="J234" s="2"/>
      <c r="K234" s="2"/>
      <c r="L234" s="2"/>
      <c r="N234" s="24"/>
      <c r="O234" s="2"/>
      <c r="P234" s="2"/>
    </row>
    <row r="235" spans="2:16" ht="15.75" customHeight="1" x14ac:dyDescent="0.25">
      <c r="B235" s="2"/>
      <c r="C235" s="2"/>
      <c r="H235" s="25"/>
      <c r="I235" s="24"/>
      <c r="J235" s="2"/>
      <c r="K235" s="2"/>
      <c r="L235" s="2"/>
      <c r="N235" s="24"/>
      <c r="O235" s="2"/>
      <c r="P235" s="2"/>
    </row>
    <row r="236" spans="2:16" ht="15.75" customHeight="1" x14ac:dyDescent="0.25">
      <c r="B236" s="2"/>
      <c r="C236" s="2"/>
      <c r="H236" s="25"/>
      <c r="I236" s="24"/>
      <c r="J236" s="2"/>
      <c r="K236" s="2"/>
      <c r="L236" s="2"/>
      <c r="N236" s="24"/>
      <c r="O236" s="2"/>
      <c r="P236" s="2"/>
    </row>
    <row r="237" spans="2:16" ht="15.75" customHeight="1" x14ac:dyDescent="0.25">
      <c r="B237" s="2"/>
      <c r="C237" s="2"/>
      <c r="H237" s="25"/>
      <c r="I237" s="24"/>
      <c r="J237" s="2"/>
      <c r="K237" s="2"/>
      <c r="L237" s="2"/>
      <c r="N237" s="24"/>
      <c r="O237" s="2"/>
      <c r="P237" s="2"/>
    </row>
    <row r="238" spans="2:16" ht="15.75" customHeight="1" x14ac:dyDescent="0.25">
      <c r="B238" s="2"/>
      <c r="C238" s="2"/>
      <c r="H238" s="25"/>
      <c r="I238" s="24"/>
      <c r="J238" s="2"/>
      <c r="K238" s="2"/>
      <c r="L238" s="2"/>
      <c r="N238" s="24"/>
      <c r="O238" s="2"/>
      <c r="P238" s="2"/>
    </row>
    <row r="239" spans="2:16" ht="15.75" customHeight="1" x14ac:dyDescent="0.25">
      <c r="B239" s="2"/>
      <c r="C239" s="2"/>
      <c r="H239" s="25"/>
      <c r="I239" s="24"/>
      <c r="J239" s="2"/>
      <c r="K239" s="2"/>
      <c r="L239" s="2"/>
      <c r="N239" s="24"/>
      <c r="O239" s="2"/>
      <c r="P239" s="2"/>
    </row>
    <row r="240" spans="2:16" ht="15.75" customHeight="1" x14ac:dyDescent="0.25">
      <c r="B240" s="2"/>
      <c r="C240" s="2"/>
      <c r="H240" s="25"/>
      <c r="I240" s="24"/>
      <c r="J240" s="2"/>
      <c r="K240" s="2"/>
      <c r="L240" s="2"/>
      <c r="N240" s="24"/>
      <c r="O240" s="2"/>
      <c r="P240" s="2"/>
    </row>
    <row r="241" spans="2:16" ht="15.75" customHeight="1" x14ac:dyDescent="0.25">
      <c r="B241" s="2"/>
      <c r="C241" s="2"/>
      <c r="H241" s="25"/>
      <c r="I241" s="24"/>
      <c r="J241" s="2"/>
      <c r="K241" s="2"/>
      <c r="L241" s="2"/>
      <c r="N241" s="24"/>
      <c r="O241" s="2"/>
      <c r="P241" s="2"/>
    </row>
    <row r="242" spans="2:16" ht="15.75" customHeight="1" x14ac:dyDescent="0.25">
      <c r="B242" s="2"/>
      <c r="C242" s="2"/>
      <c r="H242" s="25"/>
      <c r="I242" s="24"/>
      <c r="J242" s="2"/>
      <c r="K242" s="2"/>
      <c r="L242" s="2"/>
      <c r="N242" s="24"/>
      <c r="O242" s="2"/>
      <c r="P242" s="2"/>
    </row>
    <row r="243" spans="2:16" ht="15.75" customHeight="1" x14ac:dyDescent="0.25">
      <c r="B243" s="2"/>
      <c r="C243" s="2"/>
      <c r="H243" s="25"/>
      <c r="I243" s="24"/>
      <c r="J243" s="2"/>
      <c r="K243" s="2"/>
      <c r="L243" s="2"/>
      <c r="N243" s="24"/>
      <c r="O243" s="2"/>
      <c r="P243" s="2"/>
    </row>
    <row r="244" spans="2:16" ht="15.75" customHeight="1" x14ac:dyDescent="0.25">
      <c r="B244" s="2"/>
      <c r="C244" s="2"/>
      <c r="H244" s="25"/>
      <c r="I244" s="24"/>
      <c r="J244" s="2"/>
      <c r="K244" s="2"/>
      <c r="L244" s="2"/>
      <c r="N244" s="24"/>
      <c r="O244" s="2"/>
      <c r="P244" s="2"/>
    </row>
    <row r="245" spans="2:16" ht="15.75" customHeight="1" x14ac:dyDescent="0.25">
      <c r="B245" s="2"/>
      <c r="C245" s="2"/>
      <c r="H245" s="25"/>
      <c r="I245" s="24"/>
      <c r="J245" s="2"/>
      <c r="K245" s="2"/>
      <c r="L245" s="2"/>
      <c r="N245" s="24"/>
      <c r="O245" s="2"/>
      <c r="P245" s="2"/>
    </row>
    <row r="246" spans="2:16" ht="15.75" customHeight="1" x14ac:dyDescent="0.25">
      <c r="B246" s="2"/>
      <c r="C246" s="2"/>
      <c r="H246" s="25"/>
      <c r="I246" s="24"/>
      <c r="J246" s="2"/>
      <c r="K246" s="2"/>
      <c r="L246" s="2"/>
      <c r="N246" s="24"/>
      <c r="O246" s="2"/>
      <c r="P246" s="2"/>
    </row>
    <row r="247" spans="2:16" ht="15.75" customHeight="1" x14ac:dyDescent="0.25">
      <c r="B247" s="2"/>
      <c r="C247" s="2"/>
      <c r="H247" s="25"/>
      <c r="I247" s="24"/>
      <c r="J247" s="2"/>
      <c r="K247" s="2"/>
      <c r="L247" s="2"/>
      <c r="N247" s="24"/>
      <c r="O247" s="2"/>
      <c r="P247" s="2"/>
    </row>
    <row r="248" spans="2:16" ht="15.75" customHeight="1" x14ac:dyDescent="0.25">
      <c r="B248" s="2"/>
      <c r="C248" s="2"/>
      <c r="H248" s="25"/>
      <c r="I248" s="24"/>
      <c r="J248" s="2"/>
      <c r="K248" s="2"/>
      <c r="L248" s="2"/>
      <c r="N248" s="24"/>
      <c r="O248" s="2"/>
      <c r="P248" s="2"/>
    </row>
    <row r="249" spans="2:16" ht="15.75" customHeight="1" x14ac:dyDescent="0.25">
      <c r="B249" s="2"/>
      <c r="C249" s="2"/>
      <c r="H249" s="25"/>
      <c r="I249" s="24"/>
      <c r="J249" s="2"/>
      <c r="K249" s="2"/>
      <c r="L249" s="2"/>
      <c r="N249" s="24"/>
      <c r="O249" s="2"/>
      <c r="P249" s="2"/>
    </row>
    <row r="250" spans="2:16" ht="15.75" customHeight="1" x14ac:dyDescent="0.25">
      <c r="B250" s="2"/>
      <c r="C250" s="2"/>
      <c r="H250" s="25"/>
      <c r="I250" s="24"/>
      <c r="J250" s="2"/>
      <c r="K250" s="2"/>
      <c r="L250" s="2"/>
      <c r="N250" s="24"/>
      <c r="O250" s="2"/>
      <c r="P250" s="2"/>
    </row>
    <row r="251" spans="2:16" ht="15.75" customHeight="1" x14ac:dyDescent="0.25">
      <c r="B251" s="2"/>
      <c r="C251" s="2"/>
      <c r="H251" s="25"/>
      <c r="I251" s="24"/>
      <c r="J251" s="2"/>
      <c r="K251" s="2"/>
      <c r="L251" s="2"/>
      <c r="N251" s="24"/>
      <c r="O251" s="2"/>
      <c r="P251" s="2"/>
    </row>
    <row r="252" spans="2:16" ht="15.75" customHeight="1" x14ac:dyDescent="0.25">
      <c r="B252" s="2"/>
      <c r="C252" s="2"/>
      <c r="H252" s="25"/>
      <c r="I252" s="24"/>
      <c r="J252" s="2"/>
      <c r="K252" s="2"/>
      <c r="L252" s="2"/>
      <c r="N252" s="24"/>
      <c r="O252" s="2"/>
      <c r="P252" s="2"/>
    </row>
    <row r="253" spans="2:16" ht="15.75" customHeight="1" x14ac:dyDescent="0.25">
      <c r="B253" s="2"/>
      <c r="C253" s="2"/>
      <c r="H253" s="25"/>
      <c r="I253" s="24"/>
      <c r="J253" s="2"/>
      <c r="K253" s="2"/>
      <c r="L253" s="2"/>
      <c r="N253" s="24"/>
      <c r="O253" s="2"/>
      <c r="P253" s="2"/>
    </row>
    <row r="254" spans="2:16" ht="15.75" customHeight="1" x14ac:dyDescent="0.25">
      <c r="B254" s="2"/>
      <c r="C254" s="2"/>
      <c r="H254" s="25"/>
      <c r="I254" s="24"/>
      <c r="J254" s="2"/>
      <c r="K254" s="2"/>
      <c r="L254" s="2"/>
      <c r="N254" s="24"/>
      <c r="O254" s="2"/>
      <c r="P254" s="2"/>
    </row>
    <row r="255" spans="2:16" ht="15.75" customHeight="1" x14ac:dyDescent="0.25">
      <c r="B255" s="2"/>
      <c r="C255" s="2"/>
      <c r="H255" s="25"/>
      <c r="I255" s="24"/>
      <c r="J255" s="2"/>
      <c r="K255" s="2"/>
      <c r="L255" s="2"/>
      <c r="N255" s="24"/>
      <c r="O255" s="2"/>
      <c r="P255" s="2"/>
    </row>
    <row r="256" spans="2:16" ht="15.75" customHeight="1" x14ac:dyDescent="0.25">
      <c r="B256" s="2"/>
      <c r="C256" s="2"/>
      <c r="H256" s="25"/>
      <c r="I256" s="24"/>
      <c r="J256" s="2"/>
      <c r="K256" s="2"/>
      <c r="L256" s="2"/>
      <c r="N256" s="24"/>
      <c r="O256" s="2"/>
      <c r="P256" s="2"/>
    </row>
    <row r="257" spans="2:16" ht="15.75" customHeight="1" x14ac:dyDescent="0.25">
      <c r="B257" s="2"/>
      <c r="C257" s="2"/>
      <c r="H257" s="25"/>
      <c r="I257" s="24"/>
      <c r="J257" s="2"/>
      <c r="K257" s="2"/>
      <c r="L257" s="2"/>
      <c r="N257" s="24"/>
      <c r="O257" s="2"/>
      <c r="P257" s="2"/>
    </row>
    <row r="258" spans="2:16" ht="15.75" customHeight="1" x14ac:dyDescent="0.25">
      <c r="B258" s="2"/>
      <c r="C258" s="2"/>
      <c r="H258" s="25"/>
      <c r="I258" s="24"/>
      <c r="J258" s="2"/>
      <c r="K258" s="2"/>
      <c r="L258" s="2"/>
      <c r="N258" s="24"/>
      <c r="O258" s="2"/>
      <c r="P258" s="2"/>
    </row>
    <row r="259" spans="2:16" ht="15.75" customHeight="1" x14ac:dyDescent="0.25">
      <c r="B259" s="2"/>
      <c r="C259" s="2"/>
      <c r="H259" s="25"/>
      <c r="I259" s="24"/>
      <c r="J259" s="2"/>
      <c r="K259" s="2"/>
      <c r="L259" s="2"/>
      <c r="N259" s="24"/>
      <c r="O259" s="2"/>
      <c r="P259" s="2"/>
    </row>
    <row r="260" spans="2:16" ht="15.75" customHeight="1" x14ac:dyDescent="0.25">
      <c r="B260" s="2"/>
      <c r="C260" s="2"/>
      <c r="H260" s="25"/>
      <c r="I260" s="24"/>
      <c r="J260" s="2"/>
      <c r="K260" s="2"/>
      <c r="L260" s="2"/>
      <c r="N260" s="24"/>
      <c r="O260" s="2"/>
      <c r="P260" s="2"/>
    </row>
    <row r="261" spans="2:16" ht="15.75" customHeight="1" x14ac:dyDescent="0.25">
      <c r="B261" s="2"/>
      <c r="C261" s="2"/>
      <c r="H261" s="25"/>
      <c r="I261" s="24"/>
      <c r="J261" s="2"/>
      <c r="K261" s="2"/>
      <c r="L261" s="2"/>
      <c r="N261" s="24"/>
      <c r="O261" s="2"/>
      <c r="P261" s="2"/>
    </row>
    <row r="262" spans="2:16" ht="15.75" customHeight="1" x14ac:dyDescent="0.25">
      <c r="B262" s="2"/>
      <c r="C262" s="2"/>
      <c r="H262" s="25"/>
      <c r="I262" s="24"/>
      <c r="J262" s="2"/>
      <c r="K262" s="2"/>
      <c r="L262" s="2"/>
      <c r="N262" s="24"/>
      <c r="O262" s="2"/>
      <c r="P262" s="2"/>
    </row>
    <row r="263" spans="2:16" ht="15.75" customHeight="1" x14ac:dyDescent="0.25">
      <c r="B263" s="2"/>
      <c r="C263" s="2"/>
      <c r="H263" s="25"/>
      <c r="I263" s="24"/>
      <c r="J263" s="2"/>
      <c r="K263" s="2"/>
      <c r="L263" s="2"/>
      <c r="N263" s="24"/>
      <c r="O263" s="2"/>
      <c r="P263" s="2"/>
    </row>
    <row r="264" spans="2:16" ht="15.75" customHeight="1" x14ac:dyDescent="0.25">
      <c r="B264" s="2"/>
      <c r="C264" s="2"/>
      <c r="H264" s="25"/>
      <c r="I264" s="24"/>
      <c r="J264" s="2"/>
      <c r="K264" s="2"/>
      <c r="L264" s="2"/>
      <c r="N264" s="24"/>
      <c r="O264" s="2"/>
      <c r="P264" s="2"/>
    </row>
    <row r="265" spans="2:16" ht="15.75" customHeight="1" x14ac:dyDescent="0.25">
      <c r="B265" s="2"/>
      <c r="C265" s="2"/>
      <c r="H265" s="25"/>
      <c r="I265" s="24"/>
      <c r="J265" s="2"/>
      <c r="K265" s="2"/>
      <c r="L265" s="2"/>
      <c r="N265" s="24"/>
      <c r="O265" s="2"/>
      <c r="P265" s="2"/>
    </row>
    <row r="266" spans="2:16" ht="15.75" customHeight="1" x14ac:dyDescent="0.25">
      <c r="B266" s="2"/>
      <c r="C266" s="2"/>
      <c r="H266" s="25"/>
      <c r="I266" s="24"/>
      <c r="J266" s="2"/>
      <c r="K266" s="2"/>
      <c r="L266" s="2"/>
      <c r="N266" s="24"/>
      <c r="O266" s="2"/>
      <c r="P266" s="2"/>
    </row>
    <row r="267" spans="2:16" ht="15.75" customHeight="1" x14ac:dyDescent="0.25">
      <c r="B267" s="2"/>
      <c r="C267" s="2"/>
      <c r="H267" s="25"/>
      <c r="I267" s="24"/>
      <c r="J267" s="2"/>
      <c r="K267" s="2"/>
      <c r="L267" s="2"/>
      <c r="N267" s="24"/>
      <c r="O267" s="2"/>
      <c r="P267" s="2"/>
    </row>
    <row r="268" spans="2:16" ht="15.75" customHeight="1" x14ac:dyDescent="0.25">
      <c r="B268" s="2"/>
      <c r="C268" s="2"/>
      <c r="H268" s="25"/>
      <c r="I268" s="24"/>
      <c r="J268" s="2"/>
      <c r="K268" s="2"/>
      <c r="L268" s="2"/>
      <c r="N268" s="24"/>
      <c r="O268" s="2"/>
      <c r="P268" s="2"/>
    </row>
    <row r="269" spans="2:16" ht="15.75" customHeight="1" x14ac:dyDescent="0.25">
      <c r="B269" s="2"/>
      <c r="C269" s="2"/>
      <c r="H269" s="25"/>
      <c r="I269" s="24"/>
      <c r="J269" s="2"/>
      <c r="K269" s="2"/>
      <c r="L269" s="2"/>
      <c r="N269" s="24"/>
      <c r="O269" s="2"/>
      <c r="P269" s="2"/>
    </row>
    <row r="270" spans="2:16" ht="15.75" customHeight="1" x14ac:dyDescent="0.25">
      <c r="B270" s="2"/>
      <c r="C270" s="2"/>
      <c r="H270" s="25"/>
      <c r="I270" s="24"/>
      <c r="J270" s="2"/>
      <c r="K270" s="2"/>
      <c r="L270" s="2"/>
      <c r="N270" s="24"/>
      <c r="O270" s="2"/>
      <c r="P270" s="2"/>
    </row>
    <row r="271" spans="2:16" ht="15.75" customHeight="1" x14ac:dyDescent="0.25">
      <c r="B271" s="2"/>
      <c r="C271" s="2"/>
      <c r="H271" s="25"/>
      <c r="I271" s="24"/>
      <c r="J271" s="2"/>
      <c r="K271" s="2"/>
      <c r="L271" s="2"/>
      <c r="N271" s="24"/>
      <c r="O271" s="2"/>
      <c r="P271" s="2"/>
    </row>
    <row r="272" spans="2:16" ht="15.75" customHeight="1" x14ac:dyDescent="0.25">
      <c r="B272" s="2"/>
      <c r="C272" s="2"/>
      <c r="H272" s="25"/>
      <c r="I272" s="24"/>
      <c r="J272" s="2"/>
      <c r="K272" s="2"/>
      <c r="L272" s="2"/>
      <c r="N272" s="24"/>
      <c r="O272" s="2"/>
      <c r="P272" s="2"/>
    </row>
    <row r="273" spans="2:16" ht="15.75" customHeight="1" x14ac:dyDescent="0.25">
      <c r="B273" s="2"/>
      <c r="C273" s="2"/>
      <c r="H273" s="25"/>
      <c r="I273" s="24"/>
      <c r="J273" s="2"/>
      <c r="K273" s="2"/>
      <c r="L273" s="2"/>
      <c r="N273" s="24"/>
      <c r="O273" s="2"/>
      <c r="P273" s="2"/>
    </row>
    <row r="274" spans="2:16" ht="15.75" customHeight="1" x14ac:dyDescent="0.25">
      <c r="B274" s="2"/>
      <c r="C274" s="2"/>
      <c r="H274" s="25"/>
      <c r="I274" s="24"/>
      <c r="J274" s="2"/>
      <c r="K274" s="2"/>
      <c r="L274" s="2"/>
      <c r="N274" s="24"/>
      <c r="O274" s="2"/>
      <c r="P274" s="2"/>
    </row>
    <row r="275" spans="2:16" ht="15.75" customHeight="1" x14ac:dyDescent="0.25">
      <c r="B275" s="2"/>
      <c r="C275" s="2"/>
      <c r="H275" s="25"/>
      <c r="I275" s="24"/>
      <c r="J275" s="2"/>
      <c r="K275" s="2"/>
      <c r="L275" s="2"/>
      <c r="N275" s="24"/>
      <c r="O275" s="2"/>
      <c r="P275" s="2"/>
    </row>
    <row r="276" spans="2:16" ht="15.75" customHeight="1" x14ac:dyDescent="0.25">
      <c r="B276" s="2"/>
      <c r="C276" s="2"/>
      <c r="H276" s="25"/>
      <c r="I276" s="24"/>
      <c r="J276" s="2"/>
      <c r="K276" s="2"/>
      <c r="L276" s="2"/>
      <c r="N276" s="24"/>
      <c r="O276" s="2"/>
      <c r="P276" s="2"/>
    </row>
    <row r="277" spans="2:16" ht="15.75" customHeight="1" x14ac:dyDescent="0.25">
      <c r="B277" s="2"/>
      <c r="C277" s="2"/>
      <c r="H277" s="25"/>
      <c r="I277" s="24"/>
      <c r="J277" s="2"/>
      <c r="K277" s="2"/>
      <c r="L277" s="2"/>
      <c r="N277" s="24"/>
      <c r="O277" s="2"/>
      <c r="P277" s="2"/>
    </row>
    <row r="278" spans="2:16" ht="15.75" customHeight="1" x14ac:dyDescent="0.25">
      <c r="B278" s="2"/>
      <c r="C278" s="2"/>
      <c r="H278" s="25"/>
      <c r="I278" s="24"/>
      <c r="J278" s="2"/>
      <c r="K278" s="2"/>
      <c r="L278" s="2"/>
      <c r="N278" s="24"/>
      <c r="O278" s="2"/>
      <c r="P278" s="2"/>
    </row>
    <row r="279" spans="2:16" ht="15.75" customHeight="1" x14ac:dyDescent="0.25">
      <c r="B279" s="2"/>
      <c r="C279" s="2"/>
      <c r="H279" s="25"/>
      <c r="I279" s="24"/>
      <c r="J279" s="2"/>
      <c r="K279" s="2"/>
      <c r="L279" s="2"/>
      <c r="N279" s="24"/>
      <c r="O279" s="2"/>
      <c r="P279" s="2"/>
    </row>
    <row r="280" spans="2:16" ht="15.75" customHeight="1" x14ac:dyDescent="0.25">
      <c r="B280" s="2"/>
      <c r="C280" s="2"/>
      <c r="H280" s="25"/>
      <c r="I280" s="24"/>
      <c r="J280" s="2"/>
      <c r="K280" s="2"/>
      <c r="L280" s="2"/>
      <c r="N280" s="24"/>
      <c r="O280" s="2"/>
      <c r="P280" s="2"/>
    </row>
    <row r="281" spans="2:16" ht="15.75" customHeight="1" x14ac:dyDescent="0.25">
      <c r="B281" s="2"/>
      <c r="C281" s="2"/>
      <c r="H281" s="25"/>
      <c r="I281" s="24"/>
      <c r="J281" s="2"/>
      <c r="K281" s="2"/>
      <c r="L281" s="2"/>
      <c r="N281" s="24"/>
      <c r="O281" s="2"/>
      <c r="P281" s="2"/>
    </row>
    <row r="282" spans="2:16" ht="15.75" customHeight="1" x14ac:dyDescent="0.25">
      <c r="B282" s="2"/>
      <c r="C282" s="2"/>
      <c r="H282" s="25"/>
      <c r="I282" s="24"/>
      <c r="J282" s="2"/>
      <c r="K282" s="2"/>
      <c r="L282" s="2"/>
      <c r="N282" s="24"/>
      <c r="O282" s="2"/>
      <c r="P282" s="2"/>
    </row>
    <row r="283" spans="2:16" ht="15.75" customHeight="1" x14ac:dyDescent="0.25">
      <c r="B283" s="2"/>
      <c r="C283" s="2"/>
      <c r="H283" s="25"/>
      <c r="I283" s="24"/>
      <c r="J283" s="2"/>
      <c r="K283" s="2"/>
      <c r="L283" s="2"/>
      <c r="N283" s="24"/>
      <c r="O283" s="2"/>
      <c r="P283" s="2"/>
    </row>
    <row r="284" spans="2:16" ht="15.75" customHeight="1" x14ac:dyDescent="0.25">
      <c r="B284" s="2"/>
      <c r="C284" s="2"/>
      <c r="H284" s="25"/>
      <c r="I284" s="24"/>
      <c r="J284" s="2"/>
      <c r="K284" s="2"/>
      <c r="L284" s="2"/>
      <c r="N284" s="24"/>
      <c r="O284" s="2"/>
      <c r="P284" s="2"/>
    </row>
    <row r="285" spans="2:16" ht="15.75" customHeight="1" x14ac:dyDescent="0.25">
      <c r="B285" s="2"/>
      <c r="C285" s="2"/>
      <c r="H285" s="25"/>
      <c r="I285" s="24"/>
      <c r="J285" s="2"/>
      <c r="K285" s="2"/>
      <c r="L285" s="2"/>
      <c r="N285" s="24"/>
      <c r="O285" s="2"/>
      <c r="P285" s="2"/>
    </row>
    <row r="286" spans="2:16" ht="15.75" customHeight="1" x14ac:dyDescent="0.25">
      <c r="B286" s="2"/>
      <c r="C286" s="2"/>
      <c r="H286" s="25"/>
      <c r="I286" s="24"/>
      <c r="J286" s="2"/>
      <c r="K286" s="2"/>
      <c r="L286" s="2"/>
      <c r="N286" s="24"/>
      <c r="O286" s="2"/>
      <c r="P286" s="2"/>
    </row>
    <row r="287" spans="2:16" ht="15.75" customHeight="1" x14ac:dyDescent="0.25">
      <c r="B287" s="2"/>
      <c r="C287" s="2"/>
      <c r="H287" s="25"/>
      <c r="I287" s="24"/>
      <c r="J287" s="2"/>
      <c r="K287" s="2"/>
      <c r="L287" s="2"/>
      <c r="N287" s="24"/>
      <c r="O287" s="2"/>
      <c r="P287" s="2"/>
    </row>
    <row r="288" spans="2:16" ht="15.75" customHeight="1" x14ac:dyDescent="0.25">
      <c r="B288" s="2"/>
      <c r="C288" s="2"/>
      <c r="H288" s="25"/>
      <c r="I288" s="24"/>
      <c r="J288" s="2"/>
      <c r="K288" s="2"/>
      <c r="L288" s="2"/>
      <c r="N288" s="24"/>
      <c r="O288" s="2"/>
      <c r="P288" s="2"/>
    </row>
    <row r="289" spans="2:16" ht="15.75" customHeight="1" x14ac:dyDescent="0.25">
      <c r="B289" s="2"/>
      <c r="C289" s="2"/>
      <c r="H289" s="25"/>
      <c r="I289" s="24"/>
      <c r="J289" s="2"/>
      <c r="K289" s="2"/>
      <c r="L289" s="2"/>
      <c r="N289" s="24"/>
      <c r="O289" s="2"/>
      <c r="P289" s="2"/>
    </row>
    <row r="290" spans="2:16" ht="15.75" customHeight="1" x14ac:dyDescent="0.25">
      <c r="B290" s="2"/>
      <c r="C290" s="2"/>
      <c r="H290" s="25"/>
      <c r="I290" s="24"/>
      <c r="J290" s="2"/>
      <c r="K290" s="2"/>
      <c r="L290" s="2"/>
      <c r="N290" s="24"/>
      <c r="O290" s="2"/>
      <c r="P290" s="2"/>
    </row>
    <row r="291" spans="2:16" ht="15.75" customHeight="1" x14ac:dyDescent="0.25">
      <c r="B291" s="2"/>
      <c r="C291" s="2"/>
      <c r="H291" s="25"/>
      <c r="I291" s="24"/>
      <c r="J291" s="2"/>
      <c r="K291" s="2"/>
      <c r="L291" s="2"/>
      <c r="N291" s="24"/>
      <c r="O291" s="2"/>
      <c r="P291" s="2"/>
    </row>
    <row r="292" spans="2:16" ht="15.75" customHeight="1" x14ac:dyDescent="0.25">
      <c r="B292" s="2"/>
      <c r="C292" s="2"/>
      <c r="H292" s="25"/>
      <c r="I292" s="24"/>
      <c r="J292" s="2"/>
      <c r="K292" s="2"/>
      <c r="L292" s="2"/>
      <c r="N292" s="24"/>
      <c r="O292" s="2"/>
      <c r="P292" s="2"/>
    </row>
    <row r="293" spans="2:16" ht="15.75" customHeight="1" x14ac:dyDescent="0.25">
      <c r="B293" s="2"/>
      <c r="C293" s="2"/>
      <c r="H293" s="25"/>
      <c r="I293" s="24"/>
      <c r="J293" s="2"/>
      <c r="K293" s="2"/>
      <c r="L293" s="2"/>
      <c r="N293" s="24"/>
      <c r="O293" s="2"/>
      <c r="P293" s="2"/>
    </row>
    <row r="294" spans="2:16" ht="15.75" customHeight="1" x14ac:dyDescent="0.25">
      <c r="B294" s="2"/>
      <c r="C294" s="2"/>
      <c r="H294" s="25"/>
      <c r="I294" s="24"/>
      <c r="J294" s="2"/>
      <c r="K294" s="2"/>
      <c r="L294" s="2"/>
      <c r="N294" s="24"/>
      <c r="O294" s="2"/>
      <c r="P294" s="2"/>
    </row>
    <row r="295" spans="2:16" ht="15.75" customHeight="1" x14ac:dyDescent="0.25">
      <c r="B295" s="2"/>
      <c r="C295" s="2"/>
      <c r="H295" s="25"/>
      <c r="I295" s="24"/>
      <c r="J295" s="2"/>
      <c r="K295" s="2"/>
      <c r="L295" s="2"/>
      <c r="N295" s="24"/>
      <c r="O295" s="2"/>
      <c r="P295" s="2"/>
    </row>
    <row r="296" spans="2:16" ht="15.75" customHeight="1" x14ac:dyDescent="0.25">
      <c r="B296" s="2"/>
      <c r="C296" s="2"/>
      <c r="H296" s="25"/>
      <c r="I296" s="24"/>
      <c r="J296" s="2"/>
      <c r="K296" s="2"/>
      <c r="L296" s="2"/>
      <c r="N296" s="24"/>
      <c r="O296" s="2"/>
      <c r="P296" s="2"/>
    </row>
    <row r="297" spans="2:16" ht="15.75" customHeight="1" x14ac:dyDescent="0.25">
      <c r="B297" s="2"/>
      <c r="C297" s="2"/>
      <c r="H297" s="25"/>
      <c r="I297" s="24"/>
      <c r="J297" s="2"/>
      <c r="K297" s="2"/>
      <c r="L297" s="2"/>
      <c r="N297" s="24"/>
      <c r="O297" s="2"/>
      <c r="P297" s="2"/>
    </row>
    <row r="298" spans="2:16" ht="15.75" customHeight="1" x14ac:dyDescent="0.25">
      <c r="B298" s="2"/>
      <c r="C298" s="2"/>
      <c r="H298" s="25"/>
      <c r="I298" s="24"/>
      <c r="J298" s="2"/>
      <c r="K298" s="2"/>
      <c r="L298" s="2"/>
      <c r="N298" s="24"/>
      <c r="O298" s="2"/>
      <c r="P298" s="2"/>
    </row>
    <row r="299" spans="2:16" ht="15.75" customHeight="1" x14ac:dyDescent="0.25">
      <c r="B299" s="2"/>
      <c r="C299" s="2"/>
      <c r="H299" s="25"/>
      <c r="I299" s="24"/>
      <c r="J299" s="2"/>
      <c r="K299" s="2"/>
      <c r="L299" s="2"/>
      <c r="N299" s="24"/>
      <c r="O299" s="2"/>
      <c r="P299" s="2"/>
    </row>
    <row r="300" spans="2:16" ht="15.75" customHeight="1" x14ac:dyDescent="0.25">
      <c r="B300" s="2"/>
      <c r="C300" s="2"/>
      <c r="H300" s="25"/>
      <c r="I300" s="24"/>
      <c r="J300" s="2"/>
      <c r="K300" s="2"/>
      <c r="L300" s="2"/>
      <c r="N300" s="24"/>
      <c r="O300" s="2"/>
      <c r="P300" s="2"/>
    </row>
    <row r="301" spans="2:16" ht="15.75" customHeight="1" x14ac:dyDescent="0.25">
      <c r="B301" s="2"/>
      <c r="C301" s="2"/>
      <c r="H301" s="25"/>
      <c r="I301" s="24"/>
      <c r="J301" s="2"/>
      <c r="K301" s="2"/>
      <c r="L301" s="2"/>
      <c r="N301" s="24"/>
      <c r="O301" s="2"/>
      <c r="P301" s="2"/>
    </row>
    <row r="302" spans="2:16" ht="15.75" customHeight="1" x14ac:dyDescent="0.25">
      <c r="B302" s="2"/>
      <c r="C302" s="2"/>
      <c r="H302" s="25"/>
      <c r="I302" s="24"/>
      <c r="J302" s="2"/>
      <c r="K302" s="2"/>
      <c r="L302" s="2"/>
      <c r="N302" s="24"/>
      <c r="O302" s="2"/>
      <c r="P302" s="2"/>
    </row>
    <row r="303" spans="2:16" ht="15.75" customHeight="1" x14ac:dyDescent="0.25">
      <c r="B303" s="2"/>
      <c r="C303" s="2"/>
      <c r="H303" s="25"/>
      <c r="I303" s="24"/>
      <c r="J303" s="2"/>
      <c r="K303" s="2"/>
      <c r="L303" s="2"/>
      <c r="N303" s="24"/>
      <c r="O303" s="2"/>
      <c r="P303" s="2"/>
    </row>
    <row r="304" spans="2:16" ht="15.75" customHeight="1" x14ac:dyDescent="0.25">
      <c r="B304" s="2"/>
      <c r="C304" s="2"/>
      <c r="H304" s="25"/>
      <c r="I304" s="24"/>
      <c r="J304" s="2"/>
      <c r="K304" s="2"/>
      <c r="L304" s="2"/>
      <c r="N304" s="24"/>
      <c r="O304" s="2"/>
      <c r="P304" s="2"/>
    </row>
    <row r="305" spans="2:16" ht="15.75" customHeight="1" x14ac:dyDescent="0.25">
      <c r="B305" s="2"/>
      <c r="C305" s="2"/>
      <c r="H305" s="25"/>
      <c r="I305" s="24"/>
      <c r="J305" s="2"/>
      <c r="K305" s="2"/>
      <c r="L305" s="2"/>
      <c r="N305" s="24"/>
      <c r="O305" s="2"/>
      <c r="P305" s="2"/>
    </row>
    <row r="306" spans="2:16" ht="15.75" customHeight="1" x14ac:dyDescent="0.25">
      <c r="B306" s="2"/>
      <c r="C306" s="2"/>
      <c r="H306" s="25"/>
      <c r="I306" s="24"/>
      <c r="J306" s="2"/>
      <c r="K306" s="2"/>
      <c r="L306" s="2"/>
      <c r="N306" s="24"/>
      <c r="O306" s="2"/>
      <c r="P306" s="2"/>
    </row>
    <row r="307" spans="2:16" ht="15.75" customHeight="1" x14ac:dyDescent="0.25">
      <c r="B307" s="2"/>
      <c r="C307" s="2"/>
      <c r="H307" s="25"/>
      <c r="I307" s="24"/>
      <c r="J307" s="2"/>
      <c r="K307" s="2"/>
      <c r="L307" s="2"/>
      <c r="N307" s="24"/>
      <c r="O307" s="2"/>
      <c r="P307" s="2"/>
    </row>
    <row r="308" spans="2:16" ht="15.75" customHeight="1" x14ac:dyDescent="0.25">
      <c r="B308" s="2"/>
      <c r="C308" s="2"/>
      <c r="H308" s="25"/>
      <c r="I308" s="24"/>
      <c r="J308" s="2"/>
      <c r="K308" s="2"/>
      <c r="L308" s="2"/>
      <c r="N308" s="24"/>
      <c r="O308" s="2"/>
      <c r="P308" s="2"/>
    </row>
    <row r="309" spans="2:16" ht="15.75" customHeight="1" x14ac:dyDescent="0.25">
      <c r="B309" s="2"/>
      <c r="C309" s="2"/>
      <c r="H309" s="25"/>
      <c r="I309" s="24"/>
      <c r="J309" s="2"/>
      <c r="K309" s="2"/>
      <c r="L309" s="2"/>
      <c r="N309" s="24"/>
      <c r="O309" s="2"/>
      <c r="P309" s="2"/>
    </row>
    <row r="310" spans="2:16" ht="15.75" customHeight="1" x14ac:dyDescent="0.25">
      <c r="B310" s="2"/>
      <c r="C310" s="2"/>
      <c r="H310" s="25"/>
      <c r="I310" s="24"/>
      <c r="J310" s="2"/>
      <c r="K310" s="2"/>
      <c r="L310" s="2"/>
      <c r="N310" s="24"/>
      <c r="O310" s="2"/>
      <c r="P310" s="2"/>
    </row>
    <row r="311" spans="2:16" ht="15.75" customHeight="1" x14ac:dyDescent="0.25">
      <c r="B311" s="2"/>
      <c r="C311" s="2"/>
      <c r="H311" s="25"/>
      <c r="I311" s="24"/>
      <c r="J311" s="2"/>
      <c r="K311" s="2"/>
      <c r="L311" s="2"/>
      <c r="N311" s="24"/>
      <c r="O311" s="2"/>
      <c r="P311" s="2"/>
    </row>
    <row r="312" spans="2:16" ht="15.75" customHeight="1" x14ac:dyDescent="0.25">
      <c r="B312" s="2"/>
      <c r="C312" s="2"/>
      <c r="H312" s="25"/>
      <c r="I312" s="24"/>
      <c r="J312" s="2"/>
      <c r="K312" s="2"/>
      <c r="L312" s="2"/>
      <c r="N312" s="24"/>
      <c r="O312" s="2"/>
      <c r="P312" s="2"/>
    </row>
    <row r="313" spans="2:16" ht="15.75" customHeight="1" x14ac:dyDescent="0.25">
      <c r="B313" s="2"/>
      <c r="C313" s="2"/>
      <c r="H313" s="25"/>
      <c r="I313" s="24"/>
      <c r="J313" s="2"/>
      <c r="K313" s="2"/>
      <c r="L313" s="2"/>
      <c r="N313" s="24"/>
      <c r="O313" s="2"/>
      <c r="P313" s="2"/>
    </row>
    <row r="314" spans="2:16" ht="15.75" customHeight="1" x14ac:dyDescent="0.25">
      <c r="B314" s="2"/>
      <c r="C314" s="2"/>
      <c r="H314" s="25"/>
      <c r="I314" s="24"/>
      <c r="J314" s="2"/>
      <c r="K314" s="2"/>
      <c r="L314" s="2"/>
      <c r="N314" s="24"/>
      <c r="O314" s="2"/>
      <c r="P314" s="2"/>
    </row>
    <row r="315" spans="2:16" ht="15.75" customHeight="1" x14ac:dyDescent="0.25">
      <c r="B315" s="2"/>
      <c r="C315" s="2"/>
      <c r="H315" s="25"/>
      <c r="I315" s="24"/>
      <c r="J315" s="2"/>
      <c r="K315" s="2"/>
      <c r="L315" s="2"/>
      <c r="N315" s="24"/>
      <c r="O315" s="2"/>
      <c r="P315" s="2"/>
    </row>
    <row r="316" spans="2:16" ht="15.75" customHeight="1" x14ac:dyDescent="0.25">
      <c r="B316" s="2"/>
      <c r="C316" s="2"/>
      <c r="H316" s="25"/>
      <c r="I316" s="24"/>
      <c r="J316" s="2"/>
      <c r="K316" s="2"/>
      <c r="L316" s="2"/>
      <c r="N316" s="24"/>
      <c r="O316" s="2"/>
      <c r="P316" s="2"/>
    </row>
    <row r="317" spans="2:16" ht="15.75" customHeight="1" x14ac:dyDescent="0.25">
      <c r="B317" s="2"/>
      <c r="C317" s="2"/>
      <c r="H317" s="25"/>
      <c r="I317" s="24"/>
      <c r="J317" s="2"/>
      <c r="K317" s="2"/>
      <c r="L317" s="2"/>
      <c r="N317" s="24"/>
      <c r="O317" s="2"/>
      <c r="P317" s="2"/>
    </row>
    <row r="318" spans="2:16" ht="15.75" customHeight="1" x14ac:dyDescent="0.25">
      <c r="B318" s="2"/>
      <c r="C318" s="2"/>
      <c r="H318" s="25"/>
      <c r="I318" s="24"/>
      <c r="J318" s="2"/>
      <c r="K318" s="2"/>
      <c r="L318" s="2"/>
      <c r="N318" s="24"/>
      <c r="O318" s="2"/>
      <c r="P318" s="2"/>
    </row>
    <row r="319" spans="2:16" ht="15.75" customHeight="1" x14ac:dyDescent="0.25">
      <c r="B319" s="2"/>
      <c r="C319" s="2"/>
      <c r="H319" s="25"/>
      <c r="I319" s="24"/>
      <c r="J319" s="2"/>
      <c r="K319" s="2"/>
      <c r="L319" s="2"/>
      <c r="N319" s="24"/>
      <c r="O319" s="2"/>
      <c r="P319" s="2"/>
    </row>
    <row r="320" spans="2:16" ht="15.75" customHeight="1" x14ac:dyDescent="0.25">
      <c r="B320" s="2"/>
      <c r="C320" s="2"/>
      <c r="H320" s="25"/>
      <c r="I320" s="24"/>
      <c r="J320" s="2"/>
      <c r="K320" s="2"/>
      <c r="L320" s="2"/>
      <c r="N320" s="24"/>
      <c r="O320" s="2"/>
      <c r="P320" s="2"/>
    </row>
    <row r="321" spans="2:16" ht="15.75" customHeight="1" x14ac:dyDescent="0.25">
      <c r="B321" s="2"/>
      <c r="C321" s="2"/>
      <c r="H321" s="25"/>
      <c r="I321" s="24"/>
      <c r="J321" s="2"/>
      <c r="K321" s="2"/>
      <c r="L321" s="2"/>
      <c r="N321" s="24"/>
      <c r="O321" s="2"/>
      <c r="P321" s="2"/>
    </row>
    <row r="322" spans="2:16" ht="15.75" customHeight="1" x14ac:dyDescent="0.25">
      <c r="B322" s="2"/>
      <c r="C322" s="2"/>
      <c r="H322" s="25"/>
      <c r="I322" s="24"/>
      <c r="J322" s="2"/>
      <c r="K322" s="2"/>
      <c r="L322" s="2"/>
      <c r="N322" s="24"/>
      <c r="O322" s="2"/>
      <c r="P322" s="2"/>
    </row>
    <row r="323" spans="2:16" ht="15.75" customHeight="1" x14ac:dyDescent="0.25">
      <c r="B323" s="2"/>
      <c r="C323" s="2"/>
      <c r="H323" s="25"/>
      <c r="I323" s="24"/>
      <c r="J323" s="2"/>
      <c r="K323" s="2"/>
      <c r="L323" s="2"/>
      <c r="N323" s="24"/>
      <c r="O323" s="2"/>
      <c r="P323" s="2"/>
    </row>
    <row r="324" spans="2:16" ht="15.75" customHeight="1" x14ac:dyDescent="0.25">
      <c r="B324" s="2"/>
      <c r="C324" s="2"/>
      <c r="H324" s="25"/>
      <c r="I324" s="24"/>
      <c r="J324" s="2"/>
      <c r="K324" s="2"/>
      <c r="L324" s="2"/>
      <c r="N324" s="24"/>
      <c r="O324" s="2"/>
      <c r="P324" s="2"/>
    </row>
    <row r="325" spans="2:16" ht="15.75" customHeight="1" x14ac:dyDescent="0.25">
      <c r="B325" s="2"/>
      <c r="C325" s="2"/>
      <c r="H325" s="25"/>
      <c r="I325" s="24"/>
      <c r="J325" s="2"/>
      <c r="K325" s="2"/>
      <c r="L325" s="2"/>
      <c r="N325" s="24"/>
      <c r="O325" s="2"/>
      <c r="P325" s="2"/>
    </row>
    <row r="326" spans="2:16" ht="15.75" customHeight="1" x14ac:dyDescent="0.25">
      <c r="B326" s="2"/>
      <c r="C326" s="2"/>
      <c r="H326" s="25"/>
      <c r="I326" s="24"/>
      <c r="J326" s="2"/>
      <c r="K326" s="2"/>
      <c r="L326" s="2"/>
      <c r="N326" s="24"/>
      <c r="O326" s="2"/>
      <c r="P326" s="2"/>
    </row>
    <row r="327" spans="2:16" ht="15.75" customHeight="1" x14ac:dyDescent="0.25">
      <c r="B327" s="2"/>
      <c r="C327" s="2"/>
      <c r="H327" s="25"/>
      <c r="I327" s="24"/>
      <c r="J327" s="2"/>
      <c r="K327" s="2"/>
      <c r="L327" s="2"/>
      <c r="N327" s="24"/>
      <c r="O327" s="2"/>
      <c r="P327" s="2"/>
    </row>
    <row r="328" spans="2:16" ht="15.75" customHeight="1" x14ac:dyDescent="0.25">
      <c r="B328" s="2"/>
      <c r="C328" s="2"/>
      <c r="H328" s="25"/>
      <c r="I328" s="24"/>
      <c r="J328" s="2"/>
      <c r="K328" s="2"/>
      <c r="L328" s="2"/>
      <c r="N328" s="24"/>
      <c r="O328" s="2"/>
      <c r="P328" s="2"/>
    </row>
    <row r="329" spans="2:16" ht="15.75" customHeight="1" x14ac:dyDescent="0.25">
      <c r="B329" s="2"/>
      <c r="C329" s="2"/>
      <c r="H329" s="25"/>
      <c r="I329" s="24"/>
      <c r="J329" s="2"/>
      <c r="K329" s="2"/>
      <c r="L329" s="2"/>
      <c r="N329" s="24"/>
      <c r="O329" s="2"/>
      <c r="P329" s="2"/>
    </row>
    <row r="330" spans="2:16" ht="15.75" customHeight="1" x14ac:dyDescent="0.25">
      <c r="B330" s="2"/>
      <c r="C330" s="2"/>
      <c r="H330" s="25"/>
      <c r="I330" s="24"/>
      <c r="J330" s="2"/>
      <c r="K330" s="2"/>
      <c r="L330" s="2"/>
      <c r="N330" s="24"/>
      <c r="O330" s="2"/>
      <c r="P330" s="2"/>
    </row>
    <row r="331" spans="2:16" ht="15.75" customHeight="1" x14ac:dyDescent="0.25">
      <c r="B331" s="2"/>
      <c r="C331" s="2"/>
      <c r="H331" s="25"/>
      <c r="I331" s="24"/>
      <c r="J331" s="2"/>
      <c r="K331" s="2"/>
      <c r="L331" s="2"/>
      <c r="N331" s="24"/>
      <c r="O331" s="2"/>
      <c r="P331" s="2"/>
    </row>
    <row r="332" spans="2:16" ht="15.75" customHeight="1" x14ac:dyDescent="0.25">
      <c r="B332" s="2"/>
      <c r="C332" s="2"/>
      <c r="H332" s="25"/>
      <c r="I332" s="24"/>
      <c r="J332" s="2"/>
      <c r="K332" s="2"/>
      <c r="L332" s="2"/>
      <c r="N332" s="24"/>
      <c r="O332" s="2"/>
      <c r="P332" s="2"/>
    </row>
    <row r="333" spans="2:16" ht="15.75" customHeight="1" x14ac:dyDescent="0.25">
      <c r="B333" s="2"/>
      <c r="C333" s="2"/>
      <c r="H333" s="25"/>
      <c r="I333" s="24"/>
      <c r="J333" s="2"/>
      <c r="K333" s="2"/>
      <c r="L333" s="2"/>
      <c r="N333" s="24"/>
      <c r="O333" s="2"/>
      <c r="P333" s="2"/>
    </row>
    <row r="334" spans="2:16" ht="15.75" customHeight="1" x14ac:dyDescent="0.25">
      <c r="B334" s="2"/>
      <c r="C334" s="2"/>
      <c r="H334" s="25"/>
      <c r="I334" s="24"/>
      <c r="J334" s="2"/>
      <c r="K334" s="2"/>
      <c r="L334" s="2"/>
      <c r="N334" s="24"/>
      <c r="O334" s="2"/>
      <c r="P334" s="2"/>
    </row>
    <row r="335" spans="2:16" ht="15.75" customHeight="1" x14ac:dyDescent="0.25">
      <c r="B335" s="2"/>
      <c r="C335" s="2"/>
      <c r="H335" s="25"/>
      <c r="I335" s="24"/>
      <c r="J335" s="2"/>
      <c r="K335" s="2"/>
      <c r="L335" s="2"/>
      <c r="N335" s="24"/>
      <c r="O335" s="2"/>
      <c r="P335" s="2"/>
    </row>
    <row r="336" spans="2:16" ht="15.75" customHeight="1" x14ac:dyDescent="0.25">
      <c r="B336" s="2"/>
      <c r="C336" s="2"/>
      <c r="H336" s="25"/>
      <c r="I336" s="24"/>
      <c r="J336" s="2"/>
      <c r="K336" s="2"/>
      <c r="L336" s="2"/>
      <c r="N336" s="24"/>
      <c r="O336" s="2"/>
      <c r="P336" s="2"/>
    </row>
    <row r="337" spans="2:16" ht="15.75" customHeight="1" x14ac:dyDescent="0.25">
      <c r="B337" s="2"/>
      <c r="C337" s="2"/>
      <c r="H337" s="25"/>
      <c r="I337" s="24"/>
      <c r="J337" s="2"/>
      <c r="K337" s="2"/>
      <c r="L337" s="2"/>
      <c r="N337" s="24"/>
      <c r="O337" s="2"/>
      <c r="P337" s="2"/>
    </row>
    <row r="338" spans="2:16" ht="15.75" customHeight="1" x14ac:dyDescent="0.25">
      <c r="B338" s="2"/>
      <c r="C338" s="2"/>
      <c r="H338" s="25"/>
      <c r="I338" s="24"/>
      <c r="J338" s="2"/>
      <c r="K338" s="2"/>
      <c r="L338" s="2"/>
      <c r="N338" s="24"/>
      <c r="O338" s="2"/>
      <c r="P338" s="2"/>
    </row>
    <row r="339" spans="2:16" ht="15.75" customHeight="1" x14ac:dyDescent="0.25">
      <c r="B339" s="2"/>
      <c r="C339" s="2"/>
      <c r="H339" s="25"/>
      <c r="I339" s="24"/>
      <c r="J339" s="2"/>
      <c r="K339" s="2"/>
      <c r="L339" s="2"/>
      <c r="N339" s="24"/>
      <c r="O339" s="2"/>
      <c r="P339" s="2"/>
    </row>
    <row r="340" spans="2:16" ht="15.75" customHeight="1" x14ac:dyDescent="0.25">
      <c r="B340" s="2"/>
      <c r="C340" s="2"/>
      <c r="H340" s="25"/>
      <c r="I340" s="24"/>
      <c r="J340" s="2"/>
      <c r="K340" s="2"/>
      <c r="L340" s="2"/>
      <c r="N340" s="24"/>
      <c r="O340" s="2"/>
      <c r="P340" s="2"/>
    </row>
    <row r="341" spans="2:16" ht="15.75" customHeight="1" x14ac:dyDescent="0.25">
      <c r="B341" s="2"/>
      <c r="C341" s="2"/>
      <c r="H341" s="25"/>
      <c r="I341" s="24"/>
      <c r="J341" s="2"/>
      <c r="K341" s="2"/>
      <c r="L341" s="2"/>
      <c r="N341" s="24"/>
      <c r="O341" s="2"/>
      <c r="P341" s="2"/>
    </row>
    <row r="342" spans="2:16" ht="15.75" customHeight="1" x14ac:dyDescent="0.25">
      <c r="B342" s="2"/>
      <c r="C342" s="2"/>
      <c r="H342" s="25"/>
      <c r="I342" s="24"/>
      <c r="J342" s="2"/>
      <c r="K342" s="2"/>
      <c r="L342" s="2"/>
      <c r="N342" s="24"/>
      <c r="O342" s="2"/>
      <c r="P342" s="2"/>
    </row>
    <row r="343" spans="2:16" ht="15.75" customHeight="1" x14ac:dyDescent="0.25">
      <c r="B343" s="2"/>
      <c r="C343" s="2"/>
      <c r="H343" s="25"/>
      <c r="I343" s="24"/>
      <c r="J343" s="2"/>
      <c r="K343" s="2"/>
      <c r="L343" s="2"/>
      <c r="N343" s="24"/>
      <c r="O343" s="2"/>
      <c r="P343" s="2"/>
    </row>
    <row r="344" spans="2:16" ht="15.75" customHeight="1" x14ac:dyDescent="0.25">
      <c r="B344" s="2"/>
      <c r="C344" s="2"/>
      <c r="H344" s="25"/>
      <c r="I344" s="24"/>
      <c r="J344" s="2"/>
      <c r="K344" s="2"/>
      <c r="L344" s="2"/>
      <c r="N344" s="24"/>
      <c r="O344" s="2"/>
      <c r="P344" s="2"/>
    </row>
    <row r="345" spans="2:16" ht="15.75" customHeight="1" x14ac:dyDescent="0.25">
      <c r="B345" s="2"/>
      <c r="C345" s="2"/>
      <c r="H345" s="25"/>
      <c r="I345" s="24"/>
      <c r="J345" s="2"/>
      <c r="K345" s="2"/>
      <c r="L345" s="2"/>
      <c r="N345" s="24"/>
      <c r="O345" s="2"/>
      <c r="P345" s="2"/>
    </row>
    <row r="346" spans="2:16" ht="15.75" customHeight="1" x14ac:dyDescent="0.25">
      <c r="B346" s="2"/>
      <c r="C346" s="2"/>
      <c r="H346" s="25"/>
      <c r="I346" s="24"/>
      <c r="J346" s="2"/>
      <c r="K346" s="2"/>
      <c r="L346" s="2"/>
      <c r="N346" s="24"/>
      <c r="O346" s="2"/>
      <c r="P346" s="2"/>
    </row>
    <row r="347" spans="2:16" ht="15.75" customHeight="1" x14ac:dyDescent="0.25">
      <c r="B347" s="2"/>
      <c r="C347" s="2"/>
      <c r="H347" s="25"/>
      <c r="I347" s="24"/>
      <c r="J347" s="2"/>
      <c r="K347" s="2"/>
      <c r="L347" s="2"/>
      <c r="N347" s="24"/>
      <c r="O347" s="2"/>
      <c r="P347" s="2"/>
    </row>
    <row r="348" spans="2:16" ht="15.75" customHeight="1" x14ac:dyDescent="0.25">
      <c r="B348" s="2"/>
      <c r="C348" s="2"/>
      <c r="H348" s="25"/>
      <c r="I348" s="24"/>
      <c r="J348" s="2"/>
      <c r="K348" s="2"/>
      <c r="L348" s="2"/>
      <c r="N348" s="24"/>
      <c r="O348" s="2"/>
      <c r="P348" s="2"/>
    </row>
    <row r="349" spans="2:16" ht="15.75" customHeight="1" x14ac:dyDescent="0.25">
      <c r="B349" s="2"/>
      <c r="C349" s="2"/>
      <c r="H349" s="25"/>
      <c r="I349" s="24"/>
      <c r="J349" s="2"/>
      <c r="K349" s="2"/>
      <c r="L349" s="2"/>
      <c r="N349" s="24"/>
      <c r="O349" s="2"/>
      <c r="P349" s="2"/>
    </row>
    <row r="350" spans="2:16" ht="15.75" customHeight="1" x14ac:dyDescent="0.25">
      <c r="B350" s="2"/>
      <c r="C350" s="2"/>
      <c r="H350" s="25"/>
      <c r="I350" s="24"/>
      <c r="J350" s="2"/>
      <c r="K350" s="2"/>
      <c r="L350" s="2"/>
      <c r="N350" s="24"/>
      <c r="O350" s="2"/>
      <c r="P350" s="2"/>
    </row>
    <row r="351" spans="2:16" ht="15.75" customHeight="1" x14ac:dyDescent="0.25">
      <c r="B351" s="2"/>
      <c r="C351" s="2"/>
      <c r="H351" s="25"/>
      <c r="I351" s="24"/>
      <c r="J351" s="2"/>
      <c r="K351" s="2"/>
      <c r="L351" s="2"/>
      <c r="N351" s="24"/>
      <c r="O351" s="2"/>
      <c r="P351" s="2"/>
    </row>
    <row r="352" spans="2:16" ht="15.75" customHeight="1" x14ac:dyDescent="0.25">
      <c r="B352" s="2"/>
      <c r="C352" s="2"/>
      <c r="H352" s="25"/>
      <c r="I352" s="24"/>
      <c r="J352" s="2"/>
      <c r="K352" s="2"/>
      <c r="L352" s="2"/>
      <c r="N352" s="24"/>
      <c r="O352" s="2"/>
      <c r="P352" s="2"/>
    </row>
    <row r="353" spans="2:16" ht="15.75" customHeight="1" x14ac:dyDescent="0.25">
      <c r="B353" s="2"/>
      <c r="C353" s="2"/>
      <c r="H353" s="25"/>
      <c r="I353" s="24"/>
      <c r="J353" s="2"/>
      <c r="K353" s="2"/>
      <c r="L353" s="2"/>
      <c r="N353" s="24"/>
      <c r="O353" s="2"/>
      <c r="P353" s="2"/>
    </row>
    <row r="354" spans="2:16" ht="15.75" customHeight="1" x14ac:dyDescent="0.25">
      <c r="B354" s="2"/>
      <c r="C354" s="2"/>
      <c r="H354" s="25"/>
      <c r="I354" s="24"/>
      <c r="J354" s="2"/>
      <c r="K354" s="2"/>
      <c r="L354" s="2"/>
      <c r="N354" s="24"/>
      <c r="O354" s="2"/>
      <c r="P354" s="2"/>
    </row>
    <row r="355" spans="2:16" ht="15.75" customHeight="1" x14ac:dyDescent="0.25">
      <c r="B355" s="2"/>
      <c r="C355" s="2"/>
      <c r="H355" s="25"/>
      <c r="I355" s="24"/>
      <c r="J355" s="2"/>
      <c r="K355" s="2"/>
      <c r="L355" s="2"/>
      <c r="N355" s="24"/>
      <c r="O355" s="2"/>
      <c r="P355" s="2"/>
    </row>
    <row r="356" spans="2:16" ht="15.75" customHeight="1" x14ac:dyDescent="0.25">
      <c r="B356" s="2"/>
      <c r="C356" s="2"/>
      <c r="H356" s="25"/>
      <c r="I356" s="24"/>
      <c r="J356" s="2"/>
      <c r="K356" s="2"/>
      <c r="L356" s="2"/>
      <c r="N356" s="24"/>
      <c r="O356" s="2"/>
      <c r="P356" s="2"/>
    </row>
    <row r="357" spans="2:16" ht="15.75" customHeight="1" x14ac:dyDescent="0.25">
      <c r="B357" s="2"/>
      <c r="C357" s="2"/>
      <c r="H357" s="25"/>
      <c r="I357" s="24"/>
      <c r="J357" s="2"/>
      <c r="K357" s="2"/>
      <c r="L357" s="2"/>
      <c r="N357" s="24"/>
      <c r="O357" s="2"/>
      <c r="P357" s="2"/>
    </row>
    <row r="358" spans="2:16" ht="15.75" customHeight="1" x14ac:dyDescent="0.25">
      <c r="B358" s="2"/>
      <c r="C358" s="2"/>
      <c r="H358" s="25"/>
      <c r="I358" s="24"/>
      <c r="J358" s="2"/>
      <c r="K358" s="2"/>
      <c r="L358" s="2"/>
      <c r="N358" s="24"/>
      <c r="O358" s="2"/>
      <c r="P358" s="2"/>
    </row>
    <row r="359" spans="2:16" ht="15.75" customHeight="1" x14ac:dyDescent="0.25">
      <c r="B359" s="2"/>
      <c r="C359" s="2"/>
      <c r="H359" s="25"/>
      <c r="I359" s="24"/>
      <c r="J359" s="2"/>
      <c r="K359" s="2"/>
      <c r="L359" s="2"/>
      <c r="N359" s="24"/>
      <c r="O359" s="2"/>
      <c r="P359" s="2"/>
    </row>
    <row r="360" spans="2:16" ht="15.75" customHeight="1" x14ac:dyDescent="0.25">
      <c r="B360" s="2"/>
      <c r="C360" s="2"/>
      <c r="H360" s="25"/>
      <c r="I360" s="24"/>
      <c r="J360" s="2"/>
      <c r="K360" s="2"/>
      <c r="L360" s="2"/>
      <c r="N360" s="24"/>
      <c r="O360" s="2"/>
      <c r="P360" s="2"/>
    </row>
    <row r="361" spans="2:16" ht="15.75" customHeight="1" x14ac:dyDescent="0.25">
      <c r="B361" s="2"/>
      <c r="C361" s="2"/>
      <c r="H361" s="25"/>
      <c r="I361" s="24"/>
      <c r="J361" s="2"/>
      <c r="K361" s="2"/>
      <c r="L361" s="2"/>
      <c r="N361" s="24"/>
      <c r="O361" s="2"/>
      <c r="P361" s="2"/>
    </row>
    <row r="362" spans="2:16" ht="15.75" customHeight="1" x14ac:dyDescent="0.25">
      <c r="B362" s="2"/>
      <c r="C362" s="2"/>
      <c r="H362" s="25"/>
      <c r="I362" s="24"/>
      <c r="J362" s="2"/>
      <c r="K362" s="2"/>
      <c r="L362" s="2"/>
      <c r="N362" s="24"/>
      <c r="O362" s="2"/>
      <c r="P362" s="2"/>
    </row>
    <row r="363" spans="2:16" ht="15.75" customHeight="1" x14ac:dyDescent="0.25">
      <c r="B363" s="2"/>
      <c r="C363" s="2"/>
      <c r="H363" s="25"/>
      <c r="I363" s="24"/>
      <c r="J363" s="2"/>
      <c r="K363" s="2"/>
      <c r="L363" s="2"/>
      <c r="N363" s="24"/>
      <c r="O363" s="2"/>
      <c r="P363" s="2"/>
    </row>
    <row r="364" spans="2:16" ht="15.75" customHeight="1" x14ac:dyDescent="0.25">
      <c r="B364" s="2"/>
      <c r="C364" s="2"/>
      <c r="H364" s="25"/>
      <c r="I364" s="24"/>
      <c r="J364" s="2"/>
      <c r="K364" s="2"/>
      <c r="L364" s="2"/>
      <c r="N364" s="24"/>
      <c r="O364" s="2"/>
      <c r="P364" s="2"/>
    </row>
    <row r="365" spans="2:16" ht="15.75" customHeight="1" x14ac:dyDescent="0.25">
      <c r="B365" s="2"/>
      <c r="C365" s="2"/>
      <c r="H365" s="25"/>
      <c r="I365" s="24"/>
      <c r="J365" s="2"/>
      <c r="K365" s="2"/>
      <c r="L365" s="2"/>
      <c r="N365" s="24"/>
      <c r="O365" s="2"/>
      <c r="P365" s="2"/>
    </row>
    <row r="366" spans="2:16" ht="15.75" customHeight="1" x14ac:dyDescent="0.25">
      <c r="B366" s="2"/>
      <c r="C366" s="2"/>
      <c r="H366" s="25"/>
      <c r="I366" s="24"/>
      <c r="J366" s="2"/>
      <c r="K366" s="2"/>
      <c r="L366" s="2"/>
      <c r="N366" s="24"/>
      <c r="O366" s="2"/>
      <c r="P366" s="2"/>
    </row>
    <row r="367" spans="2:16" ht="15.75" customHeight="1" x14ac:dyDescent="0.25">
      <c r="B367" s="2"/>
      <c r="C367" s="2"/>
      <c r="H367" s="25"/>
      <c r="I367" s="24"/>
      <c r="J367" s="2"/>
      <c r="K367" s="2"/>
      <c r="L367" s="2"/>
      <c r="N367" s="24"/>
      <c r="O367" s="2"/>
      <c r="P367" s="2"/>
    </row>
    <row r="368" spans="2:16" ht="15.75" customHeight="1" x14ac:dyDescent="0.25">
      <c r="B368" s="2"/>
      <c r="C368" s="2"/>
      <c r="H368" s="25"/>
      <c r="I368" s="24"/>
      <c r="J368" s="2"/>
      <c r="K368" s="2"/>
      <c r="L368" s="2"/>
      <c r="N368" s="24"/>
      <c r="O368" s="2"/>
      <c r="P368" s="2"/>
    </row>
    <row r="369" spans="2:16" ht="15.75" customHeight="1" x14ac:dyDescent="0.25">
      <c r="B369" s="2"/>
      <c r="C369" s="2"/>
      <c r="H369" s="25"/>
      <c r="I369" s="24"/>
      <c r="J369" s="2"/>
      <c r="K369" s="2"/>
      <c r="L369" s="2"/>
      <c r="N369" s="24"/>
      <c r="O369" s="2"/>
      <c r="P369" s="2"/>
    </row>
    <row r="370" spans="2:16" ht="15.75" customHeight="1" x14ac:dyDescent="0.25">
      <c r="B370" s="2"/>
      <c r="C370" s="2"/>
      <c r="H370" s="25"/>
      <c r="I370" s="24"/>
      <c r="J370" s="2"/>
      <c r="K370" s="2"/>
      <c r="L370" s="2"/>
      <c r="N370" s="24"/>
      <c r="O370" s="2"/>
      <c r="P370" s="2"/>
    </row>
    <row r="371" spans="2:16" ht="15.75" customHeight="1" x14ac:dyDescent="0.25">
      <c r="B371" s="2"/>
      <c r="C371" s="2"/>
      <c r="H371" s="25"/>
      <c r="I371" s="24"/>
      <c r="J371" s="2"/>
      <c r="K371" s="2"/>
      <c r="L371" s="2"/>
      <c r="N371" s="24"/>
      <c r="O371" s="2"/>
      <c r="P371" s="2"/>
    </row>
    <row r="372" spans="2:16" ht="15.75" customHeight="1" x14ac:dyDescent="0.25">
      <c r="B372" s="2"/>
      <c r="C372" s="2"/>
      <c r="H372" s="25"/>
      <c r="I372" s="24"/>
      <c r="J372" s="2"/>
      <c r="K372" s="2"/>
      <c r="L372" s="2"/>
      <c r="N372" s="24"/>
      <c r="O372" s="2"/>
      <c r="P372" s="2"/>
    </row>
    <row r="373" spans="2:16" ht="15.75" customHeight="1" x14ac:dyDescent="0.25">
      <c r="B373" s="2"/>
      <c r="C373" s="2"/>
      <c r="H373" s="25"/>
      <c r="I373" s="24"/>
      <c r="J373" s="2"/>
      <c r="K373" s="2"/>
      <c r="L373" s="2"/>
      <c r="N373" s="24"/>
      <c r="O373" s="2"/>
      <c r="P373" s="2"/>
    </row>
    <row r="374" spans="2:16" ht="15.75" customHeight="1" x14ac:dyDescent="0.25">
      <c r="B374" s="2"/>
      <c r="C374" s="2"/>
      <c r="H374" s="25"/>
      <c r="I374" s="24"/>
      <c r="J374" s="2"/>
      <c r="K374" s="2"/>
      <c r="L374" s="2"/>
      <c r="N374" s="24"/>
      <c r="O374" s="2"/>
      <c r="P374" s="2"/>
    </row>
    <row r="375" spans="2:16" ht="15.75" customHeight="1" x14ac:dyDescent="0.25">
      <c r="B375" s="2"/>
      <c r="C375" s="2"/>
      <c r="H375" s="25"/>
      <c r="I375" s="24"/>
      <c r="J375" s="2"/>
      <c r="K375" s="2"/>
      <c r="L375" s="2"/>
      <c r="N375" s="24"/>
      <c r="O375" s="2"/>
      <c r="P375" s="2"/>
    </row>
    <row r="376" spans="2:16" ht="15.75" customHeight="1" x14ac:dyDescent="0.25">
      <c r="B376" s="2"/>
      <c r="C376" s="2"/>
      <c r="H376" s="25"/>
      <c r="I376" s="24"/>
      <c r="J376" s="2"/>
      <c r="K376" s="2"/>
      <c r="L376" s="2"/>
      <c r="N376" s="24"/>
      <c r="O376" s="2"/>
      <c r="P376" s="2"/>
    </row>
    <row r="377" spans="2:16" ht="15.75" customHeight="1" x14ac:dyDescent="0.25">
      <c r="B377" s="2"/>
      <c r="C377" s="2"/>
      <c r="H377" s="25"/>
      <c r="I377" s="24"/>
      <c r="J377" s="2"/>
      <c r="K377" s="2"/>
      <c r="L377" s="2"/>
      <c r="N377" s="24"/>
      <c r="O377" s="2"/>
      <c r="P377" s="2"/>
    </row>
    <row r="378" spans="2:16" ht="15.75" customHeight="1" x14ac:dyDescent="0.25">
      <c r="B378" s="2"/>
      <c r="C378" s="2"/>
      <c r="H378" s="25"/>
      <c r="I378" s="24"/>
      <c r="J378" s="2"/>
      <c r="K378" s="2"/>
      <c r="L378" s="2"/>
      <c r="N378" s="24"/>
      <c r="O378" s="2"/>
      <c r="P378" s="2"/>
    </row>
    <row r="379" spans="2:16" ht="15.75" customHeight="1" x14ac:dyDescent="0.25">
      <c r="B379" s="2"/>
      <c r="C379" s="2"/>
      <c r="H379" s="25"/>
      <c r="I379" s="24"/>
      <c r="J379" s="2"/>
      <c r="K379" s="2"/>
      <c r="L379" s="2"/>
      <c r="N379" s="24"/>
      <c r="O379" s="2"/>
      <c r="P379" s="2"/>
    </row>
    <row r="380" spans="2:16" ht="15.75" customHeight="1" x14ac:dyDescent="0.25">
      <c r="B380" s="2"/>
      <c r="C380" s="2"/>
      <c r="H380" s="25"/>
      <c r="I380" s="24"/>
      <c r="J380" s="2"/>
      <c r="K380" s="2"/>
      <c r="L380" s="2"/>
      <c r="N380" s="24"/>
      <c r="O380" s="2"/>
      <c r="P380" s="2"/>
    </row>
    <row r="381" spans="2:16" ht="15.75" customHeight="1" x14ac:dyDescent="0.25">
      <c r="B381" s="2"/>
      <c r="C381" s="2"/>
      <c r="H381" s="25"/>
      <c r="I381" s="24"/>
      <c r="J381" s="2"/>
      <c r="K381" s="2"/>
      <c r="L381" s="2"/>
      <c r="N381" s="24"/>
      <c r="O381" s="2"/>
      <c r="P381" s="2"/>
    </row>
    <row r="382" spans="2:16" ht="15.75" customHeight="1" x14ac:dyDescent="0.25">
      <c r="B382" s="2"/>
      <c r="C382" s="2"/>
      <c r="H382" s="25"/>
      <c r="I382" s="24"/>
      <c r="J382" s="2"/>
      <c r="K382" s="2"/>
      <c r="L382" s="2"/>
      <c r="N382" s="24"/>
      <c r="O382" s="2"/>
      <c r="P382" s="2"/>
    </row>
    <row r="383" spans="2:16" ht="15.75" customHeight="1" x14ac:dyDescent="0.25">
      <c r="B383" s="2"/>
      <c r="C383" s="2"/>
      <c r="H383" s="25"/>
      <c r="I383" s="24"/>
      <c r="J383" s="2"/>
      <c r="K383" s="2"/>
      <c r="L383" s="2"/>
      <c r="N383" s="24"/>
      <c r="O383" s="2"/>
      <c r="P383" s="2"/>
    </row>
    <row r="384" spans="2:16" ht="15.75" customHeight="1" x14ac:dyDescent="0.25">
      <c r="B384" s="2"/>
      <c r="C384" s="2"/>
      <c r="H384" s="25"/>
      <c r="I384" s="24"/>
      <c r="J384" s="2"/>
      <c r="K384" s="2"/>
      <c r="L384" s="2"/>
      <c r="N384" s="24"/>
      <c r="O384" s="2"/>
      <c r="P384" s="2"/>
    </row>
    <row r="385" spans="2:16" ht="15.75" customHeight="1" x14ac:dyDescent="0.25">
      <c r="B385" s="2"/>
      <c r="C385" s="2"/>
      <c r="H385" s="25"/>
      <c r="I385" s="24"/>
      <c r="J385" s="2"/>
      <c r="K385" s="2"/>
      <c r="L385" s="2"/>
      <c r="N385" s="24"/>
      <c r="O385" s="2"/>
      <c r="P385" s="2"/>
    </row>
    <row r="386" spans="2:16" ht="15.75" customHeight="1" x14ac:dyDescent="0.25">
      <c r="B386" s="2"/>
      <c r="C386" s="2"/>
      <c r="H386" s="25"/>
      <c r="I386" s="24"/>
      <c r="J386" s="2"/>
      <c r="K386" s="2"/>
      <c r="L386" s="2"/>
      <c r="N386" s="24"/>
      <c r="O386" s="2"/>
      <c r="P386" s="2"/>
    </row>
    <row r="387" spans="2:16" ht="15.75" customHeight="1" x14ac:dyDescent="0.25">
      <c r="B387" s="2"/>
      <c r="C387" s="2"/>
      <c r="H387" s="25"/>
      <c r="I387" s="24"/>
      <c r="J387" s="2"/>
      <c r="K387" s="2"/>
      <c r="L387" s="2"/>
      <c r="N387" s="24"/>
      <c r="O387" s="2"/>
      <c r="P387" s="2"/>
    </row>
    <row r="388" spans="2:16" ht="15.75" customHeight="1" x14ac:dyDescent="0.25">
      <c r="B388" s="2"/>
      <c r="C388" s="2"/>
      <c r="H388" s="25"/>
      <c r="I388" s="24"/>
      <c r="J388" s="2"/>
      <c r="K388" s="2"/>
      <c r="L388" s="2"/>
      <c r="N388" s="24"/>
      <c r="O388" s="2"/>
      <c r="P388" s="2"/>
    </row>
    <row r="389" spans="2:16" ht="15.75" customHeight="1" x14ac:dyDescent="0.25">
      <c r="B389" s="2"/>
      <c r="C389" s="2"/>
      <c r="H389" s="25"/>
      <c r="I389" s="24"/>
      <c r="J389" s="2"/>
      <c r="K389" s="2"/>
      <c r="L389" s="2"/>
      <c r="N389" s="24"/>
      <c r="O389" s="2"/>
      <c r="P389" s="2"/>
    </row>
    <row r="390" spans="2:16" ht="15.75" customHeight="1" x14ac:dyDescent="0.25">
      <c r="B390" s="2"/>
      <c r="C390" s="2"/>
      <c r="H390" s="25"/>
      <c r="I390" s="24"/>
      <c r="J390" s="2"/>
      <c r="K390" s="2"/>
      <c r="L390" s="2"/>
      <c r="N390" s="24"/>
      <c r="O390" s="2"/>
      <c r="P390" s="2"/>
    </row>
    <row r="391" spans="2:16" ht="15.75" customHeight="1" x14ac:dyDescent="0.25">
      <c r="B391" s="2"/>
      <c r="C391" s="2"/>
      <c r="H391" s="25"/>
      <c r="I391" s="24"/>
      <c r="J391" s="2"/>
      <c r="K391" s="2"/>
      <c r="L391" s="2"/>
      <c r="N391" s="24"/>
      <c r="O391" s="2"/>
      <c r="P391" s="2"/>
    </row>
    <row r="392" spans="2:16" ht="15.75" customHeight="1" x14ac:dyDescent="0.25">
      <c r="B392" s="2"/>
      <c r="C392" s="2"/>
      <c r="H392" s="25"/>
      <c r="I392" s="24"/>
      <c r="J392" s="2"/>
      <c r="K392" s="2"/>
      <c r="L392" s="2"/>
      <c r="N392" s="24"/>
      <c r="O392" s="2"/>
      <c r="P392" s="2"/>
    </row>
    <row r="393" spans="2:16" ht="15.75" customHeight="1" x14ac:dyDescent="0.25">
      <c r="B393" s="2"/>
      <c r="C393" s="2"/>
      <c r="H393" s="25"/>
      <c r="I393" s="24"/>
      <c r="J393" s="2"/>
      <c r="K393" s="2"/>
      <c r="L393" s="2"/>
      <c r="N393" s="24"/>
      <c r="O393" s="2"/>
      <c r="P393" s="2"/>
    </row>
    <row r="394" spans="2:16" ht="15.75" customHeight="1" x14ac:dyDescent="0.25">
      <c r="B394" s="2"/>
      <c r="C394" s="2"/>
      <c r="H394" s="25"/>
      <c r="I394" s="24"/>
      <c r="J394" s="2"/>
      <c r="K394" s="2"/>
      <c r="L394" s="2"/>
      <c r="N394" s="24"/>
      <c r="O394" s="2"/>
      <c r="P394" s="2"/>
    </row>
    <row r="395" spans="2:16" ht="15.75" customHeight="1" x14ac:dyDescent="0.25">
      <c r="B395" s="2"/>
      <c r="C395" s="2"/>
      <c r="H395" s="25"/>
      <c r="I395" s="24"/>
      <c r="J395" s="2"/>
      <c r="K395" s="2"/>
      <c r="L395" s="2"/>
      <c r="N395" s="24"/>
      <c r="O395" s="2"/>
      <c r="P395" s="2"/>
    </row>
    <row r="396" spans="2:16" ht="15.75" customHeight="1" x14ac:dyDescent="0.25">
      <c r="B396" s="2"/>
      <c r="C396" s="2"/>
      <c r="H396" s="25"/>
      <c r="I396" s="24"/>
      <c r="J396" s="2"/>
      <c r="K396" s="2"/>
      <c r="L396" s="2"/>
      <c r="N396" s="24"/>
      <c r="O396" s="2"/>
      <c r="P396" s="2"/>
    </row>
    <row r="397" spans="2:16" ht="15.75" customHeight="1" x14ac:dyDescent="0.25">
      <c r="B397" s="2"/>
      <c r="C397" s="2"/>
      <c r="H397" s="25"/>
      <c r="I397" s="24"/>
      <c r="J397" s="2"/>
      <c r="K397" s="2"/>
      <c r="L397" s="2"/>
      <c r="N397" s="24"/>
      <c r="O397" s="2"/>
      <c r="P397" s="2"/>
    </row>
    <row r="398" spans="2:16" ht="15.75" customHeight="1" x14ac:dyDescent="0.25">
      <c r="B398" s="2"/>
      <c r="C398" s="2"/>
      <c r="H398" s="25"/>
      <c r="I398" s="24"/>
      <c r="J398" s="2"/>
      <c r="K398" s="2"/>
      <c r="L398" s="2"/>
      <c r="N398" s="24"/>
      <c r="O398" s="2"/>
      <c r="P398" s="2"/>
    </row>
    <row r="399" spans="2:16" ht="15.75" customHeight="1" x14ac:dyDescent="0.25">
      <c r="B399" s="2"/>
      <c r="C399" s="2"/>
      <c r="H399" s="25"/>
      <c r="I399" s="24"/>
      <c r="J399" s="2"/>
      <c r="K399" s="2"/>
      <c r="L399" s="2"/>
      <c r="N399" s="24"/>
      <c r="O399" s="2"/>
      <c r="P399" s="2"/>
    </row>
    <row r="400" spans="2:16" ht="15.75" customHeight="1" x14ac:dyDescent="0.25">
      <c r="B400" s="2"/>
      <c r="C400" s="2"/>
      <c r="H400" s="25"/>
      <c r="I400" s="24"/>
      <c r="J400" s="2"/>
      <c r="K400" s="2"/>
      <c r="L400" s="2"/>
      <c r="N400" s="24"/>
      <c r="O400" s="2"/>
      <c r="P400" s="2"/>
    </row>
    <row r="401" spans="2:16" ht="15.75" customHeight="1" x14ac:dyDescent="0.25">
      <c r="B401" s="2"/>
      <c r="C401" s="2"/>
      <c r="H401" s="25"/>
      <c r="I401" s="24"/>
      <c r="J401" s="2"/>
      <c r="K401" s="2"/>
      <c r="L401" s="2"/>
      <c r="N401" s="24"/>
      <c r="O401" s="2"/>
      <c r="P401" s="2"/>
    </row>
    <row r="402" spans="2:16" ht="15.75" customHeight="1" x14ac:dyDescent="0.25">
      <c r="B402" s="2"/>
      <c r="C402" s="2"/>
      <c r="H402" s="25"/>
      <c r="I402" s="24"/>
      <c r="J402" s="2"/>
      <c r="K402" s="2"/>
      <c r="L402" s="2"/>
      <c r="N402" s="24"/>
      <c r="O402" s="2"/>
      <c r="P402" s="2"/>
    </row>
    <row r="403" spans="2:16" ht="15.75" customHeight="1" x14ac:dyDescent="0.25">
      <c r="B403" s="2"/>
      <c r="C403" s="2"/>
      <c r="H403" s="25"/>
      <c r="I403" s="24"/>
      <c r="J403" s="2"/>
      <c r="K403" s="2"/>
      <c r="L403" s="2"/>
      <c r="N403" s="24"/>
      <c r="O403" s="2"/>
      <c r="P403" s="2"/>
    </row>
    <row r="404" spans="2:16" ht="15.75" customHeight="1" x14ac:dyDescent="0.25">
      <c r="B404" s="2"/>
      <c r="C404" s="2"/>
      <c r="H404" s="25"/>
      <c r="I404" s="24"/>
      <c r="J404" s="2"/>
      <c r="K404" s="2"/>
      <c r="L404" s="2"/>
      <c r="N404" s="24"/>
      <c r="O404" s="2"/>
      <c r="P404" s="2"/>
    </row>
    <row r="405" spans="2:16" ht="15.75" customHeight="1" x14ac:dyDescent="0.25">
      <c r="B405" s="2"/>
      <c r="C405" s="2"/>
      <c r="H405" s="25"/>
      <c r="I405" s="24"/>
      <c r="J405" s="2"/>
      <c r="K405" s="2"/>
      <c r="L405" s="2"/>
      <c r="N405" s="24"/>
      <c r="O405" s="2"/>
      <c r="P405" s="2"/>
    </row>
    <row r="406" spans="2:16" ht="15.75" customHeight="1" x14ac:dyDescent="0.25">
      <c r="B406" s="2"/>
      <c r="C406" s="2"/>
      <c r="H406" s="25"/>
      <c r="I406" s="24"/>
      <c r="J406" s="2"/>
      <c r="K406" s="2"/>
      <c r="L406" s="2"/>
      <c r="N406" s="24"/>
      <c r="O406" s="2"/>
      <c r="P406" s="2"/>
    </row>
    <row r="407" spans="2:16" ht="15.75" customHeight="1" x14ac:dyDescent="0.25">
      <c r="B407" s="2"/>
      <c r="C407" s="2"/>
      <c r="H407" s="25"/>
      <c r="I407" s="24"/>
      <c r="J407" s="2"/>
      <c r="K407" s="2"/>
      <c r="L407" s="2"/>
      <c r="N407" s="24"/>
      <c r="O407" s="2"/>
      <c r="P407" s="2"/>
    </row>
    <row r="408" spans="2:16" ht="15.75" customHeight="1" x14ac:dyDescent="0.25">
      <c r="B408" s="2"/>
      <c r="C408" s="2"/>
      <c r="H408" s="25"/>
      <c r="I408" s="24"/>
      <c r="J408" s="2"/>
      <c r="K408" s="2"/>
      <c r="L408" s="2"/>
      <c r="N408" s="24"/>
      <c r="O408" s="2"/>
      <c r="P408" s="2"/>
    </row>
    <row r="409" spans="2:16" ht="15.75" customHeight="1" x14ac:dyDescent="0.25">
      <c r="B409" s="2"/>
      <c r="C409" s="2"/>
      <c r="H409" s="25"/>
      <c r="I409" s="24"/>
      <c r="J409" s="2"/>
      <c r="K409" s="2"/>
      <c r="L409" s="2"/>
      <c r="N409" s="24"/>
      <c r="O409" s="2"/>
      <c r="P409" s="2"/>
    </row>
    <row r="410" spans="2:16" ht="15.75" customHeight="1" x14ac:dyDescent="0.25">
      <c r="B410" s="2"/>
      <c r="C410" s="2"/>
      <c r="H410" s="25"/>
      <c r="I410" s="24"/>
      <c r="J410" s="2"/>
      <c r="K410" s="2"/>
      <c r="L410" s="2"/>
      <c r="N410" s="24"/>
      <c r="O410" s="2"/>
      <c r="P410" s="2"/>
    </row>
    <row r="411" spans="2:16" ht="15.75" customHeight="1" x14ac:dyDescent="0.25">
      <c r="B411" s="2"/>
      <c r="C411" s="2"/>
      <c r="H411" s="25"/>
      <c r="I411" s="24"/>
      <c r="J411" s="2"/>
      <c r="K411" s="2"/>
      <c r="L411" s="2"/>
      <c r="N411" s="24"/>
      <c r="O411" s="2"/>
      <c r="P411" s="2"/>
    </row>
    <row r="412" spans="2:16" ht="15.75" customHeight="1" x14ac:dyDescent="0.25">
      <c r="B412" s="2"/>
      <c r="C412" s="2"/>
      <c r="H412" s="25"/>
      <c r="I412" s="24"/>
      <c r="J412" s="2"/>
      <c r="K412" s="2"/>
      <c r="L412" s="2"/>
      <c r="N412" s="24"/>
      <c r="O412" s="2"/>
      <c r="P412" s="2"/>
    </row>
    <row r="413" spans="2:16" ht="15.75" customHeight="1" x14ac:dyDescent="0.25">
      <c r="B413" s="2"/>
      <c r="C413" s="2"/>
      <c r="H413" s="25"/>
      <c r="I413" s="24"/>
      <c r="J413" s="2"/>
      <c r="K413" s="2"/>
      <c r="L413" s="2"/>
      <c r="N413" s="24"/>
      <c r="O413" s="2"/>
      <c r="P413" s="2"/>
    </row>
    <row r="414" spans="2:16" ht="15.75" customHeight="1" x14ac:dyDescent="0.25">
      <c r="B414" s="2"/>
      <c r="C414" s="2"/>
      <c r="H414" s="25"/>
      <c r="I414" s="24"/>
      <c r="J414" s="2"/>
      <c r="K414" s="2"/>
      <c r="L414" s="2"/>
      <c r="N414" s="24"/>
      <c r="O414" s="2"/>
      <c r="P414" s="2"/>
    </row>
    <row r="415" spans="2:16" ht="15.75" customHeight="1" x14ac:dyDescent="0.25">
      <c r="B415" s="2"/>
      <c r="C415" s="2"/>
      <c r="H415" s="25"/>
      <c r="I415" s="24"/>
      <c r="J415" s="2"/>
      <c r="K415" s="2"/>
      <c r="L415" s="2"/>
      <c r="N415" s="24"/>
      <c r="O415" s="2"/>
      <c r="P415" s="2"/>
    </row>
    <row r="416" spans="2:16" ht="15.75" customHeight="1" x14ac:dyDescent="0.25">
      <c r="B416" s="2"/>
      <c r="C416" s="2"/>
      <c r="H416" s="25"/>
      <c r="I416" s="24"/>
      <c r="J416" s="2"/>
      <c r="K416" s="2"/>
      <c r="L416" s="2"/>
      <c r="N416" s="24"/>
      <c r="O416" s="2"/>
      <c r="P416" s="2"/>
    </row>
    <row r="417" spans="2:16" ht="15.75" customHeight="1" x14ac:dyDescent="0.25">
      <c r="B417" s="2"/>
      <c r="C417" s="2"/>
      <c r="H417" s="25"/>
      <c r="I417" s="24"/>
      <c r="J417" s="2"/>
      <c r="K417" s="2"/>
      <c r="L417" s="2"/>
      <c r="N417" s="24"/>
      <c r="O417" s="2"/>
      <c r="P417" s="2"/>
    </row>
    <row r="418" spans="2:16" ht="15.75" customHeight="1" x14ac:dyDescent="0.25">
      <c r="B418" s="2"/>
      <c r="C418" s="2"/>
      <c r="H418" s="25"/>
      <c r="I418" s="24"/>
      <c r="J418" s="2"/>
      <c r="K418" s="2"/>
      <c r="L418" s="2"/>
      <c r="N418" s="24"/>
      <c r="O418" s="2"/>
      <c r="P418" s="2"/>
    </row>
    <row r="419" spans="2:16" ht="15.75" customHeight="1" x14ac:dyDescent="0.25">
      <c r="B419" s="2"/>
      <c r="C419" s="2"/>
      <c r="H419" s="25"/>
      <c r="I419" s="24"/>
      <c r="J419" s="2"/>
      <c r="K419" s="2"/>
      <c r="L419" s="2"/>
      <c r="N419" s="24"/>
      <c r="O419" s="2"/>
      <c r="P419" s="2"/>
    </row>
    <row r="420" spans="2:16" ht="15.75" customHeight="1" x14ac:dyDescent="0.25">
      <c r="B420" s="2"/>
      <c r="C420" s="2"/>
      <c r="H420" s="25"/>
      <c r="I420" s="24"/>
      <c r="J420" s="2"/>
      <c r="K420" s="2"/>
      <c r="L420" s="2"/>
      <c r="N420" s="24"/>
      <c r="O420" s="2"/>
      <c r="P420" s="2"/>
    </row>
    <row r="421" spans="2:16" ht="15.75" customHeight="1" x14ac:dyDescent="0.25">
      <c r="B421" s="2"/>
      <c r="C421" s="2"/>
      <c r="H421" s="25"/>
      <c r="I421" s="24"/>
      <c r="J421" s="2"/>
      <c r="K421" s="2"/>
      <c r="L421" s="2"/>
      <c r="N421" s="24"/>
      <c r="O421" s="2"/>
      <c r="P421" s="2"/>
    </row>
    <row r="422" spans="2:16" ht="15.75" customHeight="1" x14ac:dyDescent="0.25">
      <c r="B422" s="2"/>
      <c r="C422" s="2"/>
      <c r="H422" s="25"/>
      <c r="I422" s="24"/>
      <c r="J422" s="2"/>
      <c r="K422" s="2"/>
      <c r="L422" s="2"/>
      <c r="N422" s="24"/>
      <c r="O422" s="2"/>
      <c r="P422" s="2"/>
    </row>
    <row r="423" spans="2:16" ht="15.75" customHeight="1" x14ac:dyDescent="0.25">
      <c r="B423" s="2"/>
      <c r="C423" s="2"/>
      <c r="H423" s="25"/>
      <c r="I423" s="24"/>
      <c r="J423" s="2"/>
      <c r="K423" s="2"/>
      <c r="L423" s="2"/>
      <c r="N423" s="24"/>
      <c r="O423" s="2"/>
      <c r="P423" s="2"/>
    </row>
    <row r="424" spans="2:16" ht="15.75" customHeight="1" x14ac:dyDescent="0.25">
      <c r="B424" s="2"/>
      <c r="C424" s="2"/>
      <c r="H424" s="25"/>
      <c r="I424" s="24"/>
      <c r="J424" s="2"/>
      <c r="K424" s="2"/>
      <c r="L424" s="2"/>
      <c r="N424" s="24"/>
      <c r="O424" s="2"/>
      <c r="P424" s="2"/>
    </row>
    <row r="425" spans="2:16" ht="15.75" customHeight="1" x14ac:dyDescent="0.25">
      <c r="B425" s="2"/>
      <c r="C425" s="2"/>
      <c r="H425" s="25"/>
      <c r="I425" s="24"/>
      <c r="J425" s="2"/>
      <c r="K425" s="2"/>
      <c r="L425" s="2"/>
      <c r="N425" s="24"/>
      <c r="O425" s="2"/>
      <c r="P425" s="2"/>
    </row>
    <row r="426" spans="2:16" ht="15.75" customHeight="1" x14ac:dyDescent="0.25">
      <c r="B426" s="2"/>
      <c r="C426" s="2"/>
      <c r="H426" s="25"/>
      <c r="I426" s="24"/>
      <c r="J426" s="2"/>
      <c r="K426" s="2"/>
      <c r="L426" s="2"/>
      <c r="N426" s="24"/>
      <c r="O426" s="2"/>
      <c r="P426" s="2"/>
    </row>
    <row r="427" spans="2:16" ht="15.75" customHeight="1" x14ac:dyDescent="0.25">
      <c r="B427" s="2"/>
      <c r="C427" s="2"/>
      <c r="H427" s="25"/>
      <c r="I427" s="24"/>
      <c r="J427" s="2"/>
      <c r="K427" s="2"/>
      <c r="L427" s="2"/>
      <c r="N427" s="24"/>
      <c r="O427" s="2"/>
      <c r="P427" s="2"/>
    </row>
    <row r="428" spans="2:16" ht="15.75" customHeight="1" x14ac:dyDescent="0.25">
      <c r="B428" s="2"/>
      <c r="C428" s="2"/>
      <c r="H428" s="25"/>
      <c r="I428" s="24"/>
      <c r="J428" s="2"/>
      <c r="K428" s="2"/>
      <c r="L428" s="2"/>
      <c r="N428" s="24"/>
      <c r="O428" s="2"/>
      <c r="P428" s="2"/>
    </row>
    <row r="429" spans="2:16" ht="15.75" customHeight="1" x14ac:dyDescent="0.25">
      <c r="B429" s="2"/>
      <c r="C429" s="2"/>
      <c r="H429" s="25"/>
      <c r="I429" s="24"/>
      <c r="J429" s="2"/>
      <c r="K429" s="2"/>
      <c r="L429" s="2"/>
      <c r="N429" s="24"/>
      <c r="O429" s="2"/>
      <c r="P429" s="2"/>
    </row>
    <row r="430" spans="2:16" ht="15.75" customHeight="1" x14ac:dyDescent="0.25">
      <c r="B430" s="2"/>
      <c r="C430" s="2"/>
      <c r="H430" s="25"/>
      <c r="I430" s="24"/>
      <c r="J430" s="2"/>
      <c r="K430" s="2"/>
      <c r="L430" s="2"/>
      <c r="N430" s="24"/>
      <c r="O430" s="2"/>
      <c r="P430" s="2"/>
    </row>
    <row r="431" spans="2:16" ht="15.75" customHeight="1" x14ac:dyDescent="0.25">
      <c r="B431" s="2"/>
      <c r="C431" s="2"/>
      <c r="H431" s="25"/>
      <c r="I431" s="24"/>
      <c r="J431" s="2"/>
      <c r="K431" s="2"/>
      <c r="L431" s="2"/>
      <c r="N431" s="24"/>
      <c r="O431" s="2"/>
      <c r="P431" s="2"/>
    </row>
    <row r="432" spans="2:16" ht="15.75" customHeight="1" x14ac:dyDescent="0.25">
      <c r="B432" s="2"/>
      <c r="C432" s="2"/>
      <c r="H432" s="25"/>
      <c r="I432" s="24"/>
      <c r="J432" s="2"/>
      <c r="K432" s="2"/>
      <c r="L432" s="2"/>
      <c r="N432" s="24"/>
      <c r="O432" s="2"/>
      <c r="P432" s="2"/>
    </row>
    <row r="433" spans="2:16" ht="15.75" customHeight="1" x14ac:dyDescent="0.25">
      <c r="B433" s="2"/>
      <c r="C433" s="2"/>
      <c r="H433" s="25"/>
      <c r="I433" s="24"/>
      <c r="J433" s="2"/>
      <c r="K433" s="2"/>
      <c r="L433" s="2"/>
      <c r="N433" s="24"/>
      <c r="O433" s="2"/>
      <c r="P433" s="2"/>
    </row>
    <row r="434" spans="2:16" ht="15.75" customHeight="1" x14ac:dyDescent="0.25">
      <c r="B434" s="2"/>
      <c r="C434" s="2"/>
      <c r="H434" s="25"/>
      <c r="I434" s="24"/>
      <c r="J434" s="2"/>
      <c r="K434" s="2"/>
      <c r="L434" s="2"/>
      <c r="N434" s="24"/>
      <c r="O434" s="2"/>
      <c r="P434" s="2"/>
    </row>
    <row r="435" spans="2:16" ht="15.75" customHeight="1" x14ac:dyDescent="0.25">
      <c r="B435" s="2"/>
      <c r="C435" s="2"/>
      <c r="H435" s="25"/>
      <c r="I435" s="24"/>
      <c r="J435" s="2"/>
      <c r="K435" s="2"/>
      <c r="L435" s="2"/>
      <c r="N435" s="24"/>
      <c r="O435" s="2"/>
      <c r="P435" s="2"/>
    </row>
    <row r="436" spans="2:16" ht="15.75" customHeight="1" x14ac:dyDescent="0.25">
      <c r="B436" s="2"/>
      <c r="C436" s="2"/>
      <c r="H436" s="25"/>
      <c r="I436" s="24"/>
      <c r="J436" s="2"/>
      <c r="K436" s="2"/>
      <c r="L436" s="2"/>
      <c r="N436" s="24"/>
      <c r="O436" s="2"/>
      <c r="P436" s="2"/>
    </row>
    <row r="437" spans="2:16" ht="15.75" customHeight="1" x14ac:dyDescent="0.25">
      <c r="B437" s="2"/>
      <c r="C437" s="2"/>
      <c r="H437" s="25"/>
      <c r="I437" s="24"/>
      <c r="J437" s="2"/>
      <c r="K437" s="2"/>
      <c r="L437" s="2"/>
      <c r="N437" s="24"/>
      <c r="O437" s="2"/>
      <c r="P437" s="2"/>
    </row>
    <row r="438" spans="2:16" ht="15.75" customHeight="1" x14ac:dyDescent="0.25">
      <c r="B438" s="2"/>
      <c r="C438" s="2"/>
      <c r="H438" s="25"/>
      <c r="I438" s="24"/>
      <c r="J438" s="2"/>
      <c r="K438" s="2"/>
      <c r="L438" s="2"/>
      <c r="N438" s="24"/>
      <c r="O438" s="2"/>
      <c r="P438" s="2"/>
    </row>
    <row r="439" spans="2:16" ht="15.75" customHeight="1" x14ac:dyDescent="0.25">
      <c r="B439" s="2"/>
      <c r="C439" s="2"/>
      <c r="H439" s="25"/>
      <c r="I439" s="24"/>
      <c r="J439" s="2"/>
      <c r="K439" s="2"/>
      <c r="L439" s="2"/>
      <c r="N439" s="24"/>
      <c r="O439" s="2"/>
      <c r="P439" s="2"/>
    </row>
    <row r="440" spans="2:16" ht="15.75" customHeight="1" x14ac:dyDescent="0.25">
      <c r="B440" s="2"/>
      <c r="C440" s="2"/>
      <c r="H440" s="25"/>
      <c r="I440" s="24"/>
      <c r="J440" s="2"/>
      <c r="K440" s="2"/>
      <c r="L440" s="2"/>
      <c r="N440" s="24"/>
      <c r="O440" s="2"/>
      <c r="P440" s="2"/>
    </row>
    <row r="441" spans="2:16" ht="15.75" customHeight="1" x14ac:dyDescent="0.25">
      <c r="B441" s="2"/>
      <c r="C441" s="2"/>
      <c r="H441" s="25"/>
      <c r="I441" s="24"/>
      <c r="J441" s="2"/>
      <c r="K441" s="2"/>
      <c r="L441" s="2"/>
      <c r="N441" s="24"/>
      <c r="O441" s="2"/>
      <c r="P441" s="2"/>
    </row>
    <row r="442" spans="2:16" ht="15.75" customHeight="1" x14ac:dyDescent="0.25">
      <c r="B442" s="2"/>
      <c r="C442" s="2"/>
      <c r="H442" s="25"/>
      <c r="I442" s="24"/>
      <c r="J442" s="2"/>
      <c r="K442" s="2"/>
      <c r="L442" s="2"/>
      <c r="N442" s="24"/>
      <c r="O442" s="2"/>
      <c r="P442" s="2"/>
    </row>
    <row r="443" spans="2:16" ht="15.75" customHeight="1" x14ac:dyDescent="0.25">
      <c r="B443" s="2"/>
      <c r="C443" s="2"/>
      <c r="H443" s="25"/>
      <c r="I443" s="24"/>
      <c r="J443" s="2"/>
      <c r="K443" s="2"/>
      <c r="L443" s="2"/>
      <c r="N443" s="24"/>
      <c r="O443" s="2"/>
      <c r="P443" s="2"/>
    </row>
    <row r="444" spans="2:16" ht="15.75" customHeight="1" x14ac:dyDescent="0.25">
      <c r="B444" s="2"/>
      <c r="C444" s="2"/>
      <c r="H444" s="25"/>
      <c r="I444" s="24"/>
      <c r="J444" s="2"/>
      <c r="K444" s="2"/>
      <c r="L444" s="2"/>
      <c r="N444" s="24"/>
      <c r="O444" s="2"/>
      <c r="P444" s="2"/>
    </row>
    <row r="445" spans="2:16" ht="15.75" customHeight="1" x14ac:dyDescent="0.25">
      <c r="B445" s="2"/>
      <c r="C445" s="2"/>
      <c r="H445" s="25"/>
      <c r="I445" s="24"/>
      <c r="J445" s="2"/>
      <c r="K445" s="2"/>
      <c r="L445" s="2"/>
      <c r="N445" s="24"/>
      <c r="O445" s="2"/>
      <c r="P445" s="2"/>
    </row>
    <row r="446" spans="2:16" ht="15.75" customHeight="1" x14ac:dyDescent="0.25">
      <c r="B446" s="2"/>
      <c r="C446" s="2"/>
      <c r="H446" s="25"/>
      <c r="I446" s="24"/>
      <c r="J446" s="2"/>
      <c r="K446" s="2"/>
      <c r="L446" s="2"/>
      <c r="N446" s="24"/>
      <c r="O446" s="2"/>
      <c r="P446" s="2"/>
    </row>
    <row r="447" spans="2:16" ht="15.75" customHeight="1" x14ac:dyDescent="0.25">
      <c r="B447" s="2"/>
      <c r="C447" s="2"/>
      <c r="H447" s="25"/>
      <c r="I447" s="24"/>
      <c r="J447" s="2"/>
      <c r="K447" s="2"/>
      <c r="L447" s="2"/>
      <c r="N447" s="24"/>
      <c r="O447" s="2"/>
      <c r="P447" s="2"/>
    </row>
    <row r="448" spans="2:16" ht="15.75" customHeight="1" x14ac:dyDescent="0.25">
      <c r="B448" s="2"/>
      <c r="C448" s="2"/>
      <c r="H448" s="25"/>
      <c r="I448" s="24"/>
      <c r="J448" s="2"/>
      <c r="K448" s="2"/>
      <c r="L448" s="2"/>
      <c r="N448" s="24"/>
      <c r="O448" s="2"/>
      <c r="P448" s="2"/>
    </row>
    <row r="449" spans="2:16" ht="15.75" customHeight="1" x14ac:dyDescent="0.25">
      <c r="B449" s="2"/>
      <c r="C449" s="2"/>
      <c r="H449" s="25"/>
      <c r="I449" s="24"/>
      <c r="J449" s="2"/>
      <c r="K449" s="2"/>
      <c r="L449" s="2"/>
      <c r="N449" s="24"/>
      <c r="O449" s="2"/>
      <c r="P449" s="2"/>
    </row>
    <row r="450" spans="2:16" ht="15.75" customHeight="1" x14ac:dyDescent="0.25">
      <c r="B450" s="2"/>
      <c r="C450" s="2"/>
      <c r="H450" s="25"/>
      <c r="I450" s="24"/>
      <c r="J450" s="2"/>
      <c r="K450" s="2"/>
      <c r="L450" s="2"/>
      <c r="N450" s="24"/>
      <c r="O450" s="2"/>
      <c r="P450" s="2"/>
    </row>
    <row r="451" spans="2:16" ht="15.75" customHeight="1" x14ac:dyDescent="0.25">
      <c r="B451" s="2"/>
      <c r="C451" s="2"/>
      <c r="H451" s="25"/>
      <c r="I451" s="24"/>
      <c r="J451" s="2"/>
      <c r="K451" s="2"/>
      <c r="L451" s="2"/>
      <c r="N451" s="24"/>
      <c r="O451" s="2"/>
      <c r="P451" s="2"/>
    </row>
    <row r="452" spans="2:16" ht="15.75" customHeight="1" x14ac:dyDescent="0.25">
      <c r="B452" s="2"/>
      <c r="C452" s="2"/>
      <c r="H452" s="25"/>
      <c r="I452" s="24"/>
      <c r="J452" s="2"/>
      <c r="K452" s="2"/>
      <c r="L452" s="2"/>
      <c r="N452" s="24"/>
      <c r="O452" s="2"/>
      <c r="P452" s="2"/>
    </row>
    <row r="453" spans="2:16" ht="15.75" customHeight="1" x14ac:dyDescent="0.25">
      <c r="B453" s="2"/>
      <c r="C453" s="2"/>
      <c r="H453" s="25"/>
      <c r="I453" s="24"/>
      <c r="J453" s="2"/>
      <c r="K453" s="2"/>
      <c r="L453" s="2"/>
      <c r="N453" s="24"/>
      <c r="O453" s="2"/>
      <c r="P453" s="2"/>
    </row>
    <row r="454" spans="2:16" ht="15.75" customHeight="1" x14ac:dyDescent="0.25">
      <c r="B454" s="2"/>
      <c r="C454" s="2"/>
      <c r="H454" s="25"/>
      <c r="I454" s="24"/>
      <c r="J454" s="2"/>
      <c r="K454" s="2"/>
      <c r="L454" s="2"/>
      <c r="N454" s="24"/>
      <c r="O454" s="2"/>
      <c r="P454" s="2"/>
    </row>
    <row r="455" spans="2:16" ht="15.75" customHeight="1" x14ac:dyDescent="0.25">
      <c r="B455" s="2"/>
      <c r="C455" s="2"/>
      <c r="H455" s="25"/>
      <c r="I455" s="24"/>
      <c r="J455" s="2"/>
      <c r="K455" s="2"/>
      <c r="L455" s="2"/>
      <c r="N455" s="24"/>
      <c r="O455" s="2"/>
      <c r="P455" s="2"/>
    </row>
    <row r="456" spans="2:16" ht="15.75" customHeight="1" x14ac:dyDescent="0.25">
      <c r="B456" s="2"/>
      <c r="C456" s="2"/>
      <c r="H456" s="25"/>
      <c r="I456" s="24"/>
      <c r="J456" s="2"/>
      <c r="K456" s="2"/>
      <c r="L456" s="2"/>
      <c r="N456" s="24"/>
      <c r="O456" s="2"/>
      <c r="P456" s="2"/>
    </row>
    <row r="457" spans="2:16" ht="15.75" customHeight="1" x14ac:dyDescent="0.25">
      <c r="B457" s="2"/>
      <c r="C457" s="2"/>
      <c r="H457" s="25"/>
      <c r="I457" s="24"/>
      <c r="J457" s="2"/>
      <c r="K457" s="2"/>
      <c r="L457" s="2"/>
      <c r="N457" s="24"/>
      <c r="O457" s="2"/>
      <c r="P457" s="2"/>
    </row>
    <row r="458" spans="2:16" ht="15.75" customHeight="1" x14ac:dyDescent="0.25">
      <c r="B458" s="2"/>
      <c r="C458" s="2"/>
      <c r="H458" s="25"/>
      <c r="I458" s="24"/>
      <c r="J458" s="2"/>
      <c r="K458" s="2"/>
      <c r="L458" s="2"/>
      <c r="N458" s="24"/>
      <c r="O458" s="2"/>
      <c r="P458" s="2"/>
    </row>
    <row r="459" spans="2:16" ht="15.75" customHeight="1" x14ac:dyDescent="0.25">
      <c r="B459" s="2"/>
      <c r="C459" s="2"/>
      <c r="H459" s="25"/>
      <c r="I459" s="24"/>
      <c r="J459" s="2"/>
      <c r="K459" s="2"/>
      <c r="L459" s="2"/>
      <c r="N459" s="24"/>
      <c r="O459" s="2"/>
      <c r="P459" s="2"/>
    </row>
    <row r="460" spans="2:16" ht="15.75" customHeight="1" x14ac:dyDescent="0.25">
      <c r="B460" s="2"/>
      <c r="C460" s="2"/>
      <c r="H460" s="25"/>
      <c r="I460" s="24"/>
      <c r="J460" s="2"/>
      <c r="K460" s="2"/>
      <c r="L460" s="2"/>
      <c r="N460" s="24"/>
      <c r="O460" s="2"/>
      <c r="P460" s="2"/>
    </row>
    <row r="461" spans="2:16" ht="15.75" customHeight="1" x14ac:dyDescent="0.25">
      <c r="B461" s="2"/>
      <c r="C461" s="2"/>
      <c r="H461" s="25"/>
      <c r="I461" s="24"/>
      <c r="J461" s="2"/>
      <c r="K461" s="2"/>
      <c r="L461" s="2"/>
      <c r="N461" s="24"/>
      <c r="O461" s="2"/>
      <c r="P461" s="2"/>
    </row>
    <row r="462" spans="2:16" ht="15.75" customHeight="1" x14ac:dyDescent="0.25">
      <c r="B462" s="2"/>
      <c r="C462" s="2"/>
      <c r="H462" s="25"/>
      <c r="I462" s="24"/>
      <c r="J462" s="2"/>
      <c r="K462" s="2"/>
      <c r="L462" s="2"/>
      <c r="N462" s="24"/>
      <c r="O462" s="2"/>
      <c r="P462" s="2"/>
    </row>
    <row r="463" spans="2:16" ht="15.75" customHeight="1" x14ac:dyDescent="0.25">
      <c r="B463" s="2"/>
      <c r="C463" s="2"/>
      <c r="H463" s="25"/>
      <c r="I463" s="24"/>
      <c r="J463" s="2"/>
      <c r="K463" s="2"/>
      <c r="L463" s="2"/>
      <c r="N463" s="24"/>
      <c r="O463" s="2"/>
      <c r="P463" s="2"/>
    </row>
    <row r="464" spans="2:16" ht="15.75" customHeight="1" x14ac:dyDescent="0.25">
      <c r="B464" s="2"/>
      <c r="C464" s="2"/>
      <c r="H464" s="25"/>
      <c r="I464" s="24"/>
      <c r="J464" s="2"/>
      <c r="K464" s="2"/>
      <c r="L464" s="2"/>
      <c r="N464" s="24"/>
      <c r="O464" s="2"/>
      <c r="P464" s="2"/>
    </row>
    <row r="465" spans="2:16" ht="15.75" customHeight="1" x14ac:dyDescent="0.25">
      <c r="B465" s="2"/>
      <c r="C465" s="2"/>
      <c r="H465" s="25"/>
      <c r="I465" s="24"/>
      <c r="J465" s="2"/>
      <c r="K465" s="2"/>
      <c r="L465" s="2"/>
      <c r="N465" s="24"/>
      <c r="O465" s="2"/>
      <c r="P465" s="2"/>
    </row>
    <row r="466" spans="2:16" ht="15.75" customHeight="1" x14ac:dyDescent="0.25">
      <c r="B466" s="2"/>
      <c r="C466" s="2"/>
      <c r="H466" s="25"/>
      <c r="I466" s="24"/>
      <c r="J466" s="2"/>
      <c r="K466" s="2"/>
      <c r="L466" s="2"/>
      <c r="N466" s="24"/>
      <c r="O466" s="2"/>
      <c r="P466" s="2"/>
    </row>
    <row r="467" spans="2:16" ht="15.75" customHeight="1" x14ac:dyDescent="0.25">
      <c r="B467" s="2"/>
      <c r="C467" s="2"/>
      <c r="H467" s="25"/>
      <c r="I467" s="24"/>
      <c r="J467" s="2"/>
      <c r="K467" s="2"/>
      <c r="L467" s="2"/>
      <c r="N467" s="24"/>
      <c r="O467" s="2"/>
      <c r="P467" s="2"/>
    </row>
    <row r="468" spans="2:16" ht="15.75" customHeight="1" x14ac:dyDescent="0.25">
      <c r="B468" s="2"/>
      <c r="C468" s="2"/>
      <c r="H468" s="25"/>
      <c r="I468" s="24"/>
      <c r="J468" s="2"/>
      <c r="K468" s="2"/>
      <c r="L468" s="2"/>
      <c r="N468" s="24"/>
      <c r="O468" s="2"/>
      <c r="P468" s="2"/>
    </row>
    <row r="469" spans="2:16" ht="15.75" customHeight="1" x14ac:dyDescent="0.25">
      <c r="B469" s="2"/>
      <c r="C469" s="2"/>
      <c r="H469" s="25"/>
      <c r="I469" s="24"/>
      <c r="J469" s="2"/>
      <c r="K469" s="2"/>
      <c r="L469" s="2"/>
      <c r="N469" s="24"/>
      <c r="O469" s="2"/>
      <c r="P469" s="2"/>
    </row>
    <row r="470" spans="2:16" ht="15.75" customHeight="1" x14ac:dyDescent="0.25">
      <c r="B470" s="2"/>
      <c r="C470" s="2"/>
      <c r="H470" s="25"/>
      <c r="I470" s="24"/>
      <c r="J470" s="2"/>
      <c r="K470" s="2"/>
      <c r="L470" s="2"/>
      <c r="N470" s="24"/>
      <c r="O470" s="2"/>
      <c r="P470" s="2"/>
    </row>
    <row r="471" spans="2:16" ht="15.75" customHeight="1" x14ac:dyDescent="0.25">
      <c r="B471" s="2"/>
      <c r="C471" s="2"/>
      <c r="H471" s="25"/>
      <c r="I471" s="24"/>
      <c r="J471" s="2"/>
      <c r="K471" s="2"/>
      <c r="L471" s="2"/>
      <c r="N471" s="24"/>
      <c r="O471" s="2"/>
      <c r="P471" s="2"/>
    </row>
    <row r="472" spans="2:16" ht="15.75" customHeight="1" x14ac:dyDescent="0.25">
      <c r="B472" s="2"/>
      <c r="C472" s="2"/>
      <c r="H472" s="25"/>
      <c r="I472" s="24"/>
      <c r="J472" s="2"/>
      <c r="K472" s="2"/>
      <c r="L472" s="2"/>
      <c r="N472" s="24"/>
      <c r="O472" s="2"/>
      <c r="P472" s="2"/>
    </row>
    <row r="473" spans="2:16" ht="15.75" customHeight="1" x14ac:dyDescent="0.25">
      <c r="B473" s="2"/>
      <c r="C473" s="2"/>
      <c r="H473" s="25"/>
      <c r="I473" s="24"/>
      <c r="J473" s="2"/>
      <c r="K473" s="2"/>
      <c r="L473" s="2"/>
      <c r="N473" s="24"/>
      <c r="O473" s="2"/>
      <c r="P473" s="2"/>
    </row>
    <row r="474" spans="2:16" ht="15.75" customHeight="1" x14ac:dyDescent="0.25">
      <c r="B474" s="2"/>
      <c r="C474" s="2"/>
      <c r="H474" s="25"/>
      <c r="I474" s="24"/>
      <c r="J474" s="2"/>
      <c r="K474" s="2"/>
      <c r="L474" s="2"/>
      <c r="N474" s="24"/>
      <c r="O474" s="2"/>
      <c r="P474" s="2"/>
    </row>
    <row r="475" spans="2:16" ht="15.75" customHeight="1" x14ac:dyDescent="0.25">
      <c r="B475" s="2"/>
      <c r="C475" s="2"/>
      <c r="H475" s="25"/>
      <c r="I475" s="24"/>
      <c r="J475" s="2"/>
      <c r="K475" s="2"/>
      <c r="L475" s="2"/>
      <c r="N475" s="24"/>
      <c r="O475" s="2"/>
      <c r="P475" s="2"/>
    </row>
    <row r="476" spans="2:16" ht="15.75" customHeight="1" x14ac:dyDescent="0.25">
      <c r="B476" s="2"/>
      <c r="C476" s="2"/>
      <c r="H476" s="25"/>
      <c r="I476" s="24"/>
      <c r="J476" s="2"/>
      <c r="K476" s="2"/>
      <c r="L476" s="2"/>
      <c r="N476" s="24"/>
      <c r="O476" s="2"/>
      <c r="P476" s="2"/>
    </row>
    <row r="477" spans="2:16" ht="15.75" customHeight="1" x14ac:dyDescent="0.25">
      <c r="B477" s="2"/>
      <c r="C477" s="2"/>
      <c r="H477" s="25"/>
      <c r="I477" s="24"/>
      <c r="J477" s="2"/>
      <c r="K477" s="2"/>
      <c r="L477" s="2"/>
      <c r="N477" s="24"/>
      <c r="O477" s="2"/>
      <c r="P477" s="2"/>
    </row>
    <row r="478" spans="2:16" ht="15.75" customHeight="1" x14ac:dyDescent="0.25">
      <c r="B478" s="2"/>
      <c r="C478" s="2"/>
      <c r="H478" s="25"/>
      <c r="I478" s="24"/>
      <c r="J478" s="2"/>
      <c r="K478" s="2"/>
      <c r="L478" s="2"/>
      <c r="N478" s="24"/>
      <c r="O478" s="2"/>
      <c r="P478" s="2"/>
    </row>
    <row r="479" spans="2:16" ht="15.75" customHeight="1" x14ac:dyDescent="0.25">
      <c r="B479" s="2"/>
      <c r="C479" s="2"/>
      <c r="H479" s="25"/>
      <c r="I479" s="24"/>
      <c r="J479" s="2"/>
      <c r="K479" s="2"/>
      <c r="L479" s="2"/>
      <c r="N479" s="24"/>
      <c r="O479" s="2"/>
      <c r="P479" s="2"/>
    </row>
    <row r="480" spans="2:16" ht="15.75" customHeight="1" x14ac:dyDescent="0.25">
      <c r="B480" s="2"/>
      <c r="C480" s="2"/>
      <c r="H480" s="25"/>
      <c r="I480" s="24"/>
      <c r="J480" s="2"/>
      <c r="K480" s="2"/>
      <c r="L480" s="2"/>
      <c r="N480" s="24"/>
      <c r="O480" s="2"/>
      <c r="P480" s="2"/>
    </row>
    <row r="481" spans="2:16" ht="15.75" customHeight="1" x14ac:dyDescent="0.25">
      <c r="B481" s="2"/>
      <c r="C481" s="2"/>
      <c r="H481" s="25"/>
      <c r="I481" s="24"/>
      <c r="J481" s="2"/>
      <c r="K481" s="2"/>
      <c r="L481" s="2"/>
      <c r="N481" s="24"/>
      <c r="O481" s="2"/>
      <c r="P481" s="2"/>
    </row>
    <row r="482" spans="2:16" ht="15.75" customHeight="1" x14ac:dyDescent="0.25">
      <c r="B482" s="2"/>
      <c r="C482" s="2"/>
      <c r="H482" s="25"/>
      <c r="I482" s="24"/>
      <c r="J482" s="2"/>
      <c r="K482" s="2"/>
      <c r="L482" s="2"/>
      <c r="N482" s="24"/>
      <c r="O482" s="2"/>
      <c r="P482" s="2"/>
    </row>
    <row r="483" spans="2:16" ht="15.75" customHeight="1" x14ac:dyDescent="0.25">
      <c r="B483" s="2"/>
      <c r="C483" s="2"/>
      <c r="H483" s="25"/>
      <c r="I483" s="24"/>
      <c r="J483" s="2"/>
      <c r="K483" s="2"/>
      <c r="L483" s="2"/>
      <c r="N483" s="24"/>
      <c r="O483" s="2"/>
      <c r="P483" s="2"/>
    </row>
    <row r="484" spans="2:16" ht="15.75" customHeight="1" x14ac:dyDescent="0.25">
      <c r="B484" s="2"/>
      <c r="C484" s="2"/>
      <c r="H484" s="25"/>
      <c r="I484" s="24"/>
      <c r="J484" s="2"/>
      <c r="K484" s="2"/>
      <c r="L484" s="2"/>
      <c r="N484" s="24"/>
      <c r="O484" s="2"/>
      <c r="P484" s="2"/>
    </row>
    <row r="485" spans="2:16" ht="15.75" customHeight="1" x14ac:dyDescent="0.25">
      <c r="B485" s="2"/>
      <c r="C485" s="2"/>
      <c r="H485" s="25"/>
      <c r="I485" s="24"/>
      <c r="J485" s="2"/>
      <c r="K485" s="2"/>
      <c r="L485" s="2"/>
      <c r="N485" s="24"/>
      <c r="O485" s="2"/>
      <c r="P485" s="2"/>
    </row>
    <row r="486" spans="2:16" ht="15.75" customHeight="1" x14ac:dyDescent="0.25">
      <c r="B486" s="2"/>
      <c r="C486" s="2"/>
      <c r="H486" s="25"/>
      <c r="I486" s="24"/>
      <c r="J486" s="2"/>
      <c r="K486" s="2"/>
      <c r="L486" s="2"/>
      <c r="N486" s="24"/>
      <c r="O486" s="2"/>
      <c r="P486" s="2"/>
    </row>
    <row r="487" spans="2:16" ht="15.75" customHeight="1" x14ac:dyDescent="0.25">
      <c r="B487" s="2"/>
      <c r="C487" s="2"/>
      <c r="H487" s="25"/>
      <c r="I487" s="24"/>
      <c r="J487" s="2"/>
      <c r="K487" s="2"/>
      <c r="L487" s="2"/>
      <c r="N487" s="24"/>
      <c r="O487" s="2"/>
      <c r="P487" s="2"/>
    </row>
    <row r="488" spans="2:16" ht="15.75" customHeight="1" x14ac:dyDescent="0.25">
      <c r="B488" s="2"/>
      <c r="C488" s="2"/>
      <c r="H488" s="25"/>
      <c r="I488" s="24"/>
      <c r="J488" s="2"/>
      <c r="K488" s="2"/>
      <c r="L488" s="2"/>
      <c r="N488" s="24"/>
      <c r="O488" s="2"/>
      <c r="P488" s="2"/>
    </row>
    <row r="489" spans="2:16" ht="15.75" customHeight="1" x14ac:dyDescent="0.25">
      <c r="B489" s="2"/>
      <c r="C489" s="2"/>
      <c r="H489" s="25"/>
      <c r="I489" s="24"/>
      <c r="J489" s="2"/>
      <c r="K489" s="2"/>
      <c r="L489" s="2"/>
      <c r="N489" s="24"/>
      <c r="O489" s="2"/>
      <c r="P489" s="2"/>
    </row>
    <row r="490" spans="2:16" ht="15.75" customHeight="1" x14ac:dyDescent="0.25">
      <c r="B490" s="2"/>
      <c r="C490" s="2"/>
      <c r="H490" s="25"/>
      <c r="I490" s="24"/>
      <c r="J490" s="2"/>
      <c r="K490" s="2"/>
      <c r="L490" s="2"/>
      <c r="N490" s="24"/>
      <c r="O490" s="2"/>
      <c r="P490" s="2"/>
    </row>
    <row r="491" spans="2:16" ht="15.75" customHeight="1" x14ac:dyDescent="0.25">
      <c r="B491" s="2"/>
      <c r="C491" s="2"/>
      <c r="H491" s="25"/>
      <c r="I491" s="24"/>
      <c r="J491" s="2"/>
      <c r="K491" s="2"/>
      <c r="L491" s="2"/>
      <c r="N491" s="24"/>
      <c r="O491" s="2"/>
      <c r="P491" s="2"/>
    </row>
    <row r="492" spans="2:16" ht="15.75" customHeight="1" x14ac:dyDescent="0.25">
      <c r="B492" s="2"/>
      <c r="C492" s="2"/>
      <c r="H492" s="25"/>
      <c r="I492" s="24"/>
      <c r="J492" s="2"/>
      <c r="K492" s="2"/>
      <c r="L492" s="2"/>
      <c r="N492" s="24"/>
      <c r="O492" s="2"/>
      <c r="P492" s="2"/>
    </row>
    <row r="493" spans="2:16" ht="15.75" customHeight="1" x14ac:dyDescent="0.25">
      <c r="B493" s="2"/>
      <c r="C493" s="2"/>
      <c r="H493" s="25"/>
      <c r="I493" s="24"/>
      <c r="J493" s="2"/>
      <c r="K493" s="2"/>
      <c r="L493" s="2"/>
      <c r="N493" s="24"/>
      <c r="O493" s="2"/>
      <c r="P493" s="2"/>
    </row>
    <row r="494" spans="2:16" ht="15.75" customHeight="1" x14ac:dyDescent="0.25">
      <c r="B494" s="2"/>
      <c r="C494" s="2"/>
      <c r="H494" s="25"/>
      <c r="I494" s="24"/>
      <c r="J494" s="2"/>
      <c r="K494" s="2"/>
      <c r="L494" s="2"/>
      <c r="N494" s="24"/>
      <c r="O494" s="2"/>
      <c r="P494" s="2"/>
    </row>
    <row r="495" spans="2:16" ht="15.75" customHeight="1" x14ac:dyDescent="0.25">
      <c r="B495" s="2"/>
      <c r="C495" s="2"/>
      <c r="H495" s="25"/>
      <c r="I495" s="24"/>
      <c r="J495" s="2"/>
      <c r="K495" s="2"/>
      <c r="L495" s="2"/>
      <c r="N495" s="24"/>
      <c r="O495" s="2"/>
      <c r="P495" s="2"/>
    </row>
    <row r="496" spans="2:16" ht="15.75" customHeight="1" x14ac:dyDescent="0.25">
      <c r="B496" s="2"/>
      <c r="C496" s="2"/>
      <c r="H496" s="25"/>
      <c r="I496" s="24"/>
      <c r="J496" s="2"/>
      <c r="K496" s="2"/>
      <c r="L496" s="2"/>
      <c r="N496" s="24"/>
      <c r="O496" s="2"/>
      <c r="P496" s="2"/>
    </row>
    <row r="497" spans="2:16" ht="15.75" customHeight="1" x14ac:dyDescent="0.25">
      <c r="B497" s="2"/>
      <c r="C497" s="2"/>
      <c r="H497" s="25"/>
      <c r="I497" s="24"/>
      <c r="J497" s="2"/>
      <c r="K497" s="2"/>
      <c r="L497" s="2"/>
      <c r="N497" s="24"/>
      <c r="O497" s="2"/>
      <c r="P497" s="2"/>
    </row>
    <row r="498" spans="2:16" ht="15.75" customHeight="1" x14ac:dyDescent="0.25">
      <c r="B498" s="2"/>
      <c r="C498" s="2"/>
      <c r="H498" s="25"/>
      <c r="I498" s="24"/>
      <c r="J498" s="2"/>
      <c r="K498" s="2"/>
      <c r="L498" s="2"/>
      <c r="N498" s="24"/>
      <c r="O498" s="2"/>
      <c r="P498" s="2"/>
    </row>
    <row r="499" spans="2:16" ht="15.75" customHeight="1" x14ac:dyDescent="0.25">
      <c r="B499" s="2"/>
      <c r="C499" s="2"/>
      <c r="H499" s="25"/>
      <c r="I499" s="24"/>
      <c r="J499" s="2"/>
      <c r="K499" s="2"/>
      <c r="L499" s="2"/>
      <c r="N499" s="24"/>
      <c r="O499" s="2"/>
      <c r="P499" s="2"/>
    </row>
    <row r="500" spans="2:16" ht="15.75" customHeight="1" x14ac:dyDescent="0.25">
      <c r="B500" s="2"/>
      <c r="C500" s="2"/>
      <c r="H500" s="25"/>
      <c r="I500" s="24"/>
      <c r="J500" s="2"/>
      <c r="K500" s="2"/>
      <c r="L500" s="2"/>
      <c r="N500" s="24"/>
      <c r="O500" s="2"/>
      <c r="P500" s="2"/>
    </row>
    <row r="501" spans="2:16" ht="15.75" customHeight="1" x14ac:dyDescent="0.25">
      <c r="B501" s="2"/>
      <c r="C501" s="2"/>
      <c r="H501" s="25"/>
      <c r="I501" s="24"/>
      <c r="J501" s="2"/>
      <c r="K501" s="2"/>
      <c r="L501" s="2"/>
      <c r="N501" s="24"/>
      <c r="O501" s="2"/>
      <c r="P501" s="2"/>
    </row>
    <row r="502" spans="2:16" ht="15.75" customHeight="1" x14ac:dyDescent="0.25">
      <c r="B502" s="2"/>
      <c r="C502" s="2"/>
      <c r="H502" s="25"/>
      <c r="I502" s="24"/>
      <c r="J502" s="2"/>
      <c r="K502" s="2"/>
      <c r="L502" s="2"/>
      <c r="N502" s="24"/>
      <c r="O502" s="2"/>
      <c r="P502" s="2"/>
    </row>
    <row r="503" spans="2:16" ht="15.75" customHeight="1" x14ac:dyDescent="0.25">
      <c r="B503" s="2"/>
      <c r="C503" s="2"/>
      <c r="H503" s="25"/>
      <c r="I503" s="24"/>
      <c r="J503" s="2"/>
      <c r="K503" s="2"/>
      <c r="L503" s="2"/>
      <c r="N503" s="24"/>
      <c r="O503" s="2"/>
      <c r="P503" s="2"/>
    </row>
    <row r="504" spans="2:16" ht="15.75" customHeight="1" x14ac:dyDescent="0.25">
      <c r="B504" s="2"/>
      <c r="C504" s="2"/>
      <c r="H504" s="25"/>
      <c r="I504" s="24"/>
      <c r="J504" s="2"/>
      <c r="K504" s="2"/>
      <c r="L504" s="2"/>
      <c r="N504" s="24"/>
      <c r="O504" s="2"/>
      <c r="P504" s="2"/>
    </row>
    <row r="505" spans="2:16" ht="15.75" customHeight="1" x14ac:dyDescent="0.25">
      <c r="B505" s="2"/>
      <c r="C505" s="2"/>
      <c r="H505" s="25"/>
      <c r="I505" s="24"/>
      <c r="J505" s="2"/>
      <c r="K505" s="2"/>
      <c r="L505" s="2"/>
      <c r="N505" s="24"/>
      <c r="O505" s="2"/>
      <c r="P505" s="2"/>
    </row>
    <row r="506" spans="2:16" ht="15.75" customHeight="1" x14ac:dyDescent="0.25">
      <c r="B506" s="2"/>
      <c r="C506" s="2"/>
      <c r="H506" s="25"/>
      <c r="I506" s="24"/>
      <c r="J506" s="2"/>
      <c r="K506" s="2"/>
      <c r="L506" s="2"/>
      <c r="N506" s="24"/>
      <c r="O506" s="2"/>
      <c r="P506" s="2"/>
    </row>
    <row r="507" spans="2:16" ht="15.75" customHeight="1" x14ac:dyDescent="0.25">
      <c r="B507" s="2"/>
      <c r="C507" s="2"/>
      <c r="H507" s="25"/>
      <c r="I507" s="24"/>
      <c r="J507" s="2"/>
      <c r="K507" s="2"/>
      <c r="L507" s="2"/>
      <c r="N507" s="24"/>
      <c r="O507" s="2"/>
      <c r="P507" s="2"/>
    </row>
    <row r="508" spans="2:16" ht="15.75" customHeight="1" x14ac:dyDescent="0.25">
      <c r="B508" s="2"/>
      <c r="C508" s="2"/>
      <c r="H508" s="25"/>
      <c r="I508" s="24"/>
      <c r="J508" s="2"/>
      <c r="K508" s="2"/>
      <c r="L508" s="2"/>
      <c r="N508" s="24"/>
      <c r="O508" s="2"/>
      <c r="P508" s="2"/>
    </row>
    <row r="509" spans="2:16" ht="15.75" customHeight="1" x14ac:dyDescent="0.25">
      <c r="B509" s="2"/>
      <c r="C509" s="2"/>
      <c r="H509" s="25"/>
      <c r="I509" s="24"/>
      <c r="J509" s="2"/>
      <c r="K509" s="2"/>
      <c r="L509" s="2"/>
      <c r="N509" s="24"/>
      <c r="O509" s="2"/>
      <c r="P509" s="2"/>
    </row>
    <row r="510" spans="2:16" ht="15.75" customHeight="1" x14ac:dyDescent="0.25">
      <c r="B510" s="2"/>
      <c r="C510" s="2"/>
      <c r="H510" s="25"/>
      <c r="I510" s="24"/>
      <c r="J510" s="2"/>
      <c r="K510" s="2"/>
      <c r="L510" s="2"/>
      <c r="N510" s="24"/>
      <c r="O510" s="2"/>
      <c r="P510" s="2"/>
    </row>
    <row r="511" spans="2:16" ht="15.75" customHeight="1" x14ac:dyDescent="0.25">
      <c r="B511" s="2"/>
      <c r="C511" s="2"/>
      <c r="H511" s="25"/>
      <c r="I511" s="24"/>
      <c r="J511" s="2"/>
      <c r="K511" s="2"/>
      <c r="L511" s="2"/>
      <c r="N511" s="24"/>
      <c r="O511" s="2"/>
      <c r="P511" s="2"/>
    </row>
    <row r="512" spans="2:16" ht="15.75" customHeight="1" x14ac:dyDescent="0.25">
      <c r="B512" s="2"/>
      <c r="C512" s="2"/>
      <c r="H512" s="25"/>
      <c r="I512" s="24"/>
      <c r="J512" s="2"/>
      <c r="K512" s="2"/>
      <c r="L512" s="2"/>
      <c r="N512" s="24"/>
      <c r="O512" s="2"/>
      <c r="P512" s="2"/>
    </row>
    <row r="513" spans="2:16" ht="15.75" customHeight="1" x14ac:dyDescent="0.25">
      <c r="B513" s="2"/>
      <c r="C513" s="2"/>
      <c r="H513" s="25"/>
      <c r="I513" s="24"/>
      <c r="J513" s="2"/>
      <c r="K513" s="2"/>
      <c r="L513" s="2"/>
      <c r="N513" s="24"/>
      <c r="O513" s="2"/>
      <c r="P513" s="2"/>
    </row>
    <row r="514" spans="2:16" ht="15.75" customHeight="1" x14ac:dyDescent="0.25">
      <c r="B514" s="2"/>
      <c r="C514" s="2"/>
      <c r="H514" s="25"/>
      <c r="I514" s="24"/>
      <c r="J514" s="2"/>
      <c r="K514" s="2"/>
      <c r="L514" s="2"/>
      <c r="N514" s="24"/>
      <c r="O514" s="2"/>
      <c r="P514" s="2"/>
    </row>
    <row r="515" spans="2:16" ht="15.75" customHeight="1" x14ac:dyDescent="0.25">
      <c r="B515" s="2"/>
      <c r="C515" s="2"/>
      <c r="H515" s="25"/>
      <c r="I515" s="24"/>
      <c r="J515" s="2"/>
      <c r="K515" s="2"/>
      <c r="L515" s="2"/>
      <c r="N515" s="24"/>
      <c r="O515" s="2"/>
      <c r="P515" s="2"/>
    </row>
    <row r="516" spans="2:16" ht="15.75" customHeight="1" x14ac:dyDescent="0.25">
      <c r="B516" s="2"/>
      <c r="C516" s="2"/>
      <c r="H516" s="25"/>
      <c r="I516" s="24"/>
      <c r="J516" s="2"/>
      <c r="K516" s="2"/>
      <c r="L516" s="2"/>
      <c r="N516" s="24"/>
      <c r="O516" s="2"/>
      <c r="P516" s="2"/>
    </row>
    <row r="517" spans="2:16" ht="15.75" customHeight="1" x14ac:dyDescent="0.25">
      <c r="B517" s="2"/>
      <c r="C517" s="2"/>
      <c r="H517" s="25"/>
      <c r="I517" s="24"/>
      <c r="J517" s="2"/>
      <c r="K517" s="2"/>
      <c r="L517" s="2"/>
      <c r="N517" s="24"/>
      <c r="O517" s="2"/>
      <c r="P517" s="2"/>
    </row>
    <row r="518" spans="2:16" ht="15.75" customHeight="1" x14ac:dyDescent="0.25">
      <c r="B518" s="2"/>
      <c r="C518" s="2"/>
      <c r="H518" s="25"/>
      <c r="I518" s="24"/>
      <c r="J518" s="2"/>
      <c r="K518" s="2"/>
      <c r="L518" s="2"/>
      <c r="N518" s="24"/>
      <c r="O518" s="2"/>
      <c r="P518" s="2"/>
    </row>
    <row r="519" spans="2:16" ht="15.75" customHeight="1" x14ac:dyDescent="0.25">
      <c r="B519" s="2"/>
      <c r="C519" s="2"/>
      <c r="H519" s="25"/>
      <c r="I519" s="24"/>
      <c r="J519" s="2"/>
      <c r="K519" s="2"/>
      <c r="L519" s="2"/>
      <c r="N519" s="24"/>
      <c r="O519" s="2"/>
      <c r="P519" s="2"/>
    </row>
    <row r="520" spans="2:16" ht="15.75" customHeight="1" x14ac:dyDescent="0.25">
      <c r="B520" s="2"/>
      <c r="C520" s="2"/>
      <c r="H520" s="25"/>
      <c r="I520" s="24"/>
      <c r="J520" s="2"/>
      <c r="K520" s="2"/>
      <c r="L520" s="2"/>
      <c r="N520" s="24"/>
      <c r="O520" s="2"/>
      <c r="P520" s="2"/>
    </row>
    <row r="521" spans="2:16" ht="15.75" customHeight="1" x14ac:dyDescent="0.25">
      <c r="B521" s="2"/>
      <c r="C521" s="2"/>
      <c r="H521" s="25"/>
      <c r="I521" s="24"/>
      <c r="J521" s="2"/>
      <c r="K521" s="2"/>
      <c r="L521" s="2"/>
      <c r="N521" s="24"/>
      <c r="O521" s="2"/>
      <c r="P521" s="2"/>
    </row>
    <row r="522" spans="2:16" ht="15.75" customHeight="1" x14ac:dyDescent="0.25">
      <c r="B522" s="2"/>
      <c r="C522" s="2"/>
      <c r="H522" s="25"/>
      <c r="I522" s="24"/>
      <c r="J522" s="2"/>
      <c r="K522" s="2"/>
      <c r="L522" s="2"/>
      <c r="N522" s="24"/>
      <c r="O522" s="2"/>
      <c r="P522" s="2"/>
    </row>
    <row r="523" spans="2:16" ht="15.75" customHeight="1" x14ac:dyDescent="0.25">
      <c r="B523" s="2"/>
      <c r="C523" s="2"/>
      <c r="H523" s="25"/>
      <c r="I523" s="24"/>
      <c r="J523" s="2"/>
      <c r="K523" s="2"/>
      <c r="L523" s="2"/>
      <c r="N523" s="24"/>
      <c r="O523" s="2"/>
      <c r="P523" s="2"/>
    </row>
    <row r="524" spans="2:16" ht="15.75" customHeight="1" x14ac:dyDescent="0.25">
      <c r="B524" s="2"/>
      <c r="C524" s="2"/>
      <c r="H524" s="25"/>
      <c r="I524" s="24"/>
      <c r="J524" s="2"/>
      <c r="K524" s="2"/>
      <c r="L524" s="2"/>
      <c r="N524" s="24"/>
      <c r="O524" s="2"/>
      <c r="P524" s="2"/>
    </row>
    <row r="525" spans="2:16" ht="15.75" customHeight="1" x14ac:dyDescent="0.25">
      <c r="B525" s="2"/>
      <c r="C525" s="2"/>
      <c r="H525" s="25"/>
      <c r="I525" s="24"/>
      <c r="J525" s="2"/>
      <c r="K525" s="2"/>
      <c r="L525" s="2"/>
      <c r="N525" s="24"/>
      <c r="O525" s="2"/>
      <c r="P525" s="2"/>
    </row>
    <row r="526" spans="2:16" ht="15.75" customHeight="1" x14ac:dyDescent="0.25">
      <c r="B526" s="2"/>
      <c r="C526" s="2"/>
      <c r="H526" s="25"/>
      <c r="I526" s="24"/>
      <c r="J526" s="2"/>
      <c r="K526" s="2"/>
      <c r="L526" s="2"/>
      <c r="N526" s="24"/>
      <c r="O526" s="2"/>
      <c r="P526" s="2"/>
    </row>
    <row r="527" spans="2:16" ht="15.75" customHeight="1" x14ac:dyDescent="0.25">
      <c r="B527" s="2"/>
      <c r="C527" s="2"/>
      <c r="H527" s="25"/>
      <c r="I527" s="24"/>
      <c r="J527" s="2"/>
      <c r="K527" s="2"/>
      <c r="L527" s="2"/>
      <c r="N527" s="24"/>
      <c r="O527" s="2"/>
      <c r="P527" s="2"/>
    </row>
    <row r="528" spans="2:16" ht="15.75" customHeight="1" x14ac:dyDescent="0.25">
      <c r="B528" s="2"/>
      <c r="C528" s="2"/>
      <c r="H528" s="25"/>
      <c r="I528" s="24"/>
      <c r="J528" s="2"/>
      <c r="K528" s="2"/>
      <c r="L528" s="2"/>
      <c r="N528" s="24"/>
      <c r="O528" s="2"/>
      <c r="P528" s="2"/>
    </row>
    <row r="529" spans="2:16" ht="15.75" customHeight="1" x14ac:dyDescent="0.25">
      <c r="B529" s="2"/>
      <c r="C529" s="2"/>
      <c r="H529" s="25"/>
      <c r="I529" s="24"/>
      <c r="J529" s="2"/>
      <c r="K529" s="2"/>
      <c r="L529" s="2"/>
      <c r="N529" s="24"/>
      <c r="O529" s="2"/>
      <c r="P529" s="2"/>
    </row>
    <row r="530" spans="2:16" ht="15.75" customHeight="1" x14ac:dyDescent="0.25">
      <c r="B530" s="2"/>
      <c r="C530" s="2"/>
      <c r="H530" s="25"/>
      <c r="I530" s="24"/>
      <c r="J530" s="2"/>
      <c r="K530" s="2"/>
      <c r="L530" s="2"/>
      <c r="N530" s="24"/>
      <c r="O530" s="2"/>
      <c r="P530" s="2"/>
    </row>
    <row r="531" spans="2:16" ht="15.75" customHeight="1" x14ac:dyDescent="0.25">
      <c r="B531" s="2"/>
      <c r="C531" s="2"/>
      <c r="H531" s="25"/>
      <c r="I531" s="24"/>
      <c r="J531" s="2"/>
      <c r="K531" s="2"/>
      <c r="L531" s="2"/>
      <c r="N531" s="24"/>
      <c r="O531" s="2"/>
      <c r="P531" s="2"/>
    </row>
    <row r="532" spans="2:16" ht="15.75" customHeight="1" x14ac:dyDescent="0.25">
      <c r="B532" s="2"/>
      <c r="C532" s="2"/>
      <c r="H532" s="25"/>
      <c r="I532" s="24"/>
      <c r="J532" s="2"/>
      <c r="K532" s="2"/>
      <c r="L532" s="2"/>
      <c r="N532" s="24"/>
      <c r="O532" s="2"/>
      <c r="P532" s="2"/>
    </row>
    <row r="533" spans="2:16" ht="15.75" customHeight="1" x14ac:dyDescent="0.25">
      <c r="B533" s="2"/>
      <c r="C533" s="2"/>
      <c r="H533" s="25"/>
      <c r="I533" s="24"/>
      <c r="J533" s="2"/>
      <c r="K533" s="2"/>
      <c r="L533" s="2"/>
      <c r="N533" s="24"/>
      <c r="O533" s="2"/>
      <c r="P533" s="2"/>
    </row>
    <row r="534" spans="2:16" ht="15.75" customHeight="1" x14ac:dyDescent="0.25">
      <c r="B534" s="2"/>
      <c r="C534" s="2"/>
      <c r="H534" s="25"/>
      <c r="I534" s="24"/>
      <c r="J534" s="2"/>
      <c r="K534" s="2"/>
      <c r="L534" s="2"/>
      <c r="N534" s="24"/>
      <c r="O534" s="2"/>
      <c r="P534" s="2"/>
    </row>
    <row r="535" spans="2:16" ht="15.75" customHeight="1" x14ac:dyDescent="0.25">
      <c r="B535" s="2"/>
      <c r="C535" s="2"/>
      <c r="H535" s="25"/>
      <c r="I535" s="24"/>
      <c r="J535" s="2"/>
      <c r="K535" s="2"/>
      <c r="L535" s="2"/>
      <c r="N535" s="24"/>
      <c r="O535" s="2"/>
      <c r="P535" s="2"/>
    </row>
    <row r="536" spans="2:16" ht="15.75" customHeight="1" x14ac:dyDescent="0.25">
      <c r="B536" s="2"/>
      <c r="C536" s="2"/>
      <c r="H536" s="25"/>
      <c r="I536" s="24"/>
      <c r="J536" s="2"/>
      <c r="K536" s="2"/>
      <c r="L536" s="2"/>
      <c r="N536" s="24"/>
      <c r="O536" s="2"/>
      <c r="P536" s="2"/>
    </row>
    <row r="537" spans="2:16" ht="15.75" customHeight="1" x14ac:dyDescent="0.25">
      <c r="B537" s="2"/>
      <c r="C537" s="2"/>
      <c r="H537" s="25"/>
      <c r="I537" s="24"/>
      <c r="J537" s="2"/>
      <c r="K537" s="2"/>
      <c r="L537" s="2"/>
      <c r="N537" s="24"/>
      <c r="O537" s="2"/>
      <c r="P537" s="2"/>
    </row>
    <row r="538" spans="2:16" ht="15.75" customHeight="1" x14ac:dyDescent="0.25">
      <c r="B538" s="2"/>
      <c r="C538" s="2"/>
      <c r="H538" s="25"/>
      <c r="I538" s="24"/>
      <c r="J538" s="2"/>
      <c r="K538" s="2"/>
      <c r="L538" s="2"/>
      <c r="N538" s="24"/>
      <c r="O538" s="2"/>
      <c r="P538" s="2"/>
    </row>
    <row r="539" spans="2:16" ht="15.75" customHeight="1" x14ac:dyDescent="0.25">
      <c r="B539" s="2"/>
      <c r="C539" s="2"/>
      <c r="H539" s="25"/>
      <c r="I539" s="24"/>
      <c r="J539" s="2"/>
      <c r="K539" s="2"/>
      <c r="L539" s="2"/>
      <c r="N539" s="24"/>
      <c r="O539" s="2"/>
      <c r="P539" s="2"/>
    </row>
    <row r="540" spans="2:16" ht="15.75" customHeight="1" x14ac:dyDescent="0.25">
      <c r="B540" s="2"/>
      <c r="C540" s="2"/>
      <c r="H540" s="25"/>
      <c r="I540" s="24"/>
      <c r="J540" s="2"/>
      <c r="K540" s="2"/>
      <c r="L540" s="2"/>
      <c r="N540" s="24"/>
      <c r="O540" s="2"/>
      <c r="P540" s="2"/>
    </row>
    <row r="541" spans="2:16" ht="15.75" customHeight="1" x14ac:dyDescent="0.25">
      <c r="B541" s="2"/>
      <c r="C541" s="2"/>
      <c r="H541" s="25"/>
      <c r="I541" s="24"/>
      <c r="J541" s="2"/>
      <c r="K541" s="2"/>
      <c r="L541" s="2"/>
      <c r="N541" s="24"/>
      <c r="O541" s="2"/>
      <c r="P541" s="2"/>
    </row>
    <row r="542" spans="2:16" ht="15.75" customHeight="1" x14ac:dyDescent="0.25">
      <c r="B542" s="2"/>
      <c r="C542" s="2"/>
      <c r="H542" s="25"/>
      <c r="I542" s="24"/>
      <c r="J542" s="2"/>
      <c r="K542" s="2"/>
      <c r="L542" s="2"/>
      <c r="N542" s="24"/>
      <c r="O542" s="2"/>
      <c r="P542" s="2"/>
    </row>
    <row r="543" spans="2:16" ht="15.75" customHeight="1" x14ac:dyDescent="0.25">
      <c r="B543" s="2"/>
      <c r="C543" s="2"/>
      <c r="H543" s="25"/>
      <c r="I543" s="24"/>
      <c r="J543" s="2"/>
      <c r="K543" s="2"/>
      <c r="L543" s="2"/>
      <c r="N543" s="24"/>
      <c r="O543" s="2"/>
      <c r="P543" s="2"/>
    </row>
    <row r="544" spans="2:16" ht="15.75" customHeight="1" x14ac:dyDescent="0.25">
      <c r="B544" s="2"/>
      <c r="C544" s="2"/>
      <c r="H544" s="25"/>
      <c r="I544" s="24"/>
      <c r="J544" s="2"/>
      <c r="K544" s="2"/>
      <c r="L544" s="2"/>
      <c r="N544" s="24"/>
      <c r="O544" s="2"/>
      <c r="P544" s="2"/>
    </row>
    <row r="545" spans="2:16" ht="15.75" customHeight="1" x14ac:dyDescent="0.25">
      <c r="B545" s="2"/>
      <c r="C545" s="2"/>
      <c r="H545" s="25"/>
      <c r="I545" s="24"/>
      <c r="J545" s="2"/>
      <c r="K545" s="2"/>
      <c r="L545" s="2"/>
      <c r="N545" s="24"/>
      <c r="O545" s="2"/>
      <c r="P545" s="2"/>
    </row>
    <row r="546" spans="2:16" ht="15.75" customHeight="1" x14ac:dyDescent="0.25">
      <c r="B546" s="2"/>
      <c r="C546" s="2"/>
      <c r="H546" s="25"/>
      <c r="I546" s="24"/>
      <c r="J546" s="2"/>
      <c r="K546" s="2"/>
      <c r="L546" s="2"/>
      <c r="N546" s="24"/>
      <c r="O546" s="2"/>
      <c r="P546" s="2"/>
    </row>
    <row r="547" spans="2:16" ht="15.75" customHeight="1" x14ac:dyDescent="0.25">
      <c r="B547" s="2"/>
      <c r="C547" s="2"/>
      <c r="H547" s="25"/>
      <c r="I547" s="24"/>
      <c r="J547" s="2"/>
      <c r="K547" s="2"/>
      <c r="L547" s="2"/>
      <c r="N547" s="24"/>
      <c r="O547" s="2"/>
      <c r="P547" s="2"/>
    </row>
    <row r="548" spans="2:16" ht="15.75" customHeight="1" x14ac:dyDescent="0.25">
      <c r="B548" s="2"/>
      <c r="C548" s="2"/>
      <c r="H548" s="25"/>
      <c r="I548" s="24"/>
      <c r="J548" s="2"/>
      <c r="K548" s="2"/>
      <c r="L548" s="2"/>
      <c r="N548" s="24"/>
      <c r="O548" s="2"/>
      <c r="P548" s="2"/>
    </row>
    <row r="549" spans="2:16" ht="15.75" customHeight="1" x14ac:dyDescent="0.25">
      <c r="B549" s="2"/>
      <c r="C549" s="2"/>
      <c r="H549" s="25"/>
      <c r="I549" s="24"/>
      <c r="J549" s="2"/>
      <c r="K549" s="2"/>
      <c r="L549" s="2"/>
      <c r="N549" s="24"/>
      <c r="O549" s="2"/>
      <c r="P549" s="2"/>
    </row>
    <row r="550" spans="2:16" ht="15.75" customHeight="1" x14ac:dyDescent="0.25">
      <c r="B550" s="2"/>
      <c r="C550" s="2"/>
      <c r="H550" s="25"/>
      <c r="I550" s="24"/>
      <c r="J550" s="2"/>
      <c r="K550" s="2"/>
      <c r="L550" s="2"/>
      <c r="N550" s="24"/>
      <c r="O550" s="2"/>
      <c r="P550" s="2"/>
    </row>
    <row r="551" spans="2:16" ht="15.75" customHeight="1" x14ac:dyDescent="0.25">
      <c r="B551" s="2"/>
      <c r="C551" s="2"/>
      <c r="H551" s="25"/>
      <c r="I551" s="24"/>
      <c r="J551" s="2"/>
      <c r="K551" s="2"/>
      <c r="L551" s="2"/>
      <c r="N551" s="24"/>
      <c r="O551" s="2"/>
      <c r="P551" s="2"/>
    </row>
    <row r="552" spans="2:16" ht="15.75" customHeight="1" x14ac:dyDescent="0.25">
      <c r="B552" s="2"/>
      <c r="C552" s="2"/>
      <c r="H552" s="25"/>
      <c r="I552" s="24"/>
      <c r="J552" s="2"/>
      <c r="K552" s="2"/>
      <c r="L552" s="2"/>
      <c r="N552" s="24"/>
      <c r="O552" s="2"/>
      <c r="P552" s="2"/>
    </row>
    <row r="553" spans="2:16" ht="15.75" customHeight="1" x14ac:dyDescent="0.25">
      <c r="B553" s="2"/>
      <c r="C553" s="2"/>
      <c r="H553" s="25"/>
      <c r="I553" s="24"/>
      <c r="J553" s="2"/>
      <c r="K553" s="2"/>
      <c r="L553" s="2"/>
      <c r="N553" s="24"/>
      <c r="O553" s="2"/>
      <c r="P553" s="2"/>
    </row>
    <row r="554" spans="2:16" ht="15.75" customHeight="1" x14ac:dyDescent="0.25">
      <c r="B554" s="2"/>
      <c r="C554" s="2"/>
      <c r="H554" s="25"/>
      <c r="I554" s="24"/>
      <c r="J554" s="2"/>
      <c r="K554" s="2"/>
      <c r="L554" s="2"/>
      <c r="N554" s="24"/>
      <c r="O554" s="2"/>
      <c r="P554" s="2"/>
    </row>
    <row r="555" spans="2:16" ht="15.75" customHeight="1" x14ac:dyDescent="0.25">
      <c r="B555" s="2"/>
      <c r="C555" s="2"/>
      <c r="H555" s="25"/>
      <c r="I555" s="24"/>
      <c r="J555" s="2"/>
      <c r="K555" s="2"/>
      <c r="L555" s="2"/>
      <c r="N555" s="24"/>
      <c r="O555" s="2"/>
      <c r="P555" s="2"/>
    </row>
    <row r="556" spans="2:16" ht="15.75" customHeight="1" x14ac:dyDescent="0.25">
      <c r="B556" s="2"/>
      <c r="C556" s="2"/>
      <c r="H556" s="25"/>
      <c r="I556" s="24"/>
      <c r="J556" s="2"/>
      <c r="K556" s="2"/>
      <c r="L556" s="2"/>
      <c r="N556" s="24"/>
      <c r="O556" s="2"/>
      <c r="P556" s="2"/>
    </row>
    <row r="557" spans="2:16" ht="15.75" customHeight="1" x14ac:dyDescent="0.25">
      <c r="B557" s="2"/>
      <c r="C557" s="2"/>
      <c r="H557" s="25"/>
      <c r="I557" s="24"/>
      <c r="J557" s="2"/>
      <c r="K557" s="2"/>
      <c r="L557" s="2"/>
      <c r="N557" s="24"/>
      <c r="O557" s="2"/>
      <c r="P557" s="2"/>
    </row>
    <row r="558" spans="2:16" ht="15.75" customHeight="1" x14ac:dyDescent="0.25">
      <c r="B558" s="2"/>
      <c r="C558" s="2"/>
      <c r="H558" s="25"/>
      <c r="I558" s="24"/>
      <c r="J558" s="2"/>
      <c r="K558" s="2"/>
      <c r="L558" s="2"/>
      <c r="N558" s="24"/>
      <c r="O558" s="2"/>
      <c r="P558" s="2"/>
    </row>
    <row r="559" spans="2:16" ht="15.75" customHeight="1" x14ac:dyDescent="0.25">
      <c r="B559" s="2"/>
      <c r="C559" s="2"/>
      <c r="H559" s="25"/>
      <c r="I559" s="24"/>
      <c r="J559" s="2"/>
      <c r="K559" s="2"/>
      <c r="L559" s="2"/>
      <c r="N559" s="24"/>
      <c r="O559" s="2"/>
      <c r="P559" s="2"/>
    </row>
    <row r="560" spans="2:16" ht="15.75" customHeight="1" x14ac:dyDescent="0.25">
      <c r="B560" s="2"/>
      <c r="C560" s="2"/>
      <c r="H560" s="25"/>
      <c r="I560" s="24"/>
      <c r="J560" s="2"/>
      <c r="K560" s="2"/>
      <c r="L560" s="2"/>
      <c r="N560" s="24"/>
      <c r="O560" s="2"/>
      <c r="P560" s="2"/>
    </row>
    <row r="561" spans="2:16" ht="15.75" customHeight="1" x14ac:dyDescent="0.25">
      <c r="B561" s="2"/>
      <c r="C561" s="2"/>
      <c r="H561" s="25"/>
      <c r="I561" s="24"/>
      <c r="J561" s="2"/>
      <c r="K561" s="2"/>
      <c r="L561" s="2"/>
      <c r="N561" s="24"/>
      <c r="O561" s="2"/>
      <c r="P561" s="2"/>
    </row>
    <row r="562" spans="2:16" ht="15.75" customHeight="1" x14ac:dyDescent="0.25">
      <c r="B562" s="2"/>
      <c r="C562" s="2"/>
      <c r="H562" s="25"/>
      <c r="I562" s="24"/>
      <c r="J562" s="2"/>
      <c r="K562" s="2"/>
      <c r="L562" s="2"/>
      <c r="N562" s="24"/>
      <c r="O562" s="2"/>
      <c r="P562" s="2"/>
    </row>
    <row r="563" spans="2:16" ht="15.75" customHeight="1" x14ac:dyDescent="0.25">
      <c r="B563" s="2"/>
      <c r="C563" s="2"/>
      <c r="H563" s="25"/>
      <c r="I563" s="24"/>
      <c r="J563" s="2"/>
      <c r="K563" s="2"/>
      <c r="L563" s="2"/>
      <c r="N563" s="24"/>
      <c r="O563" s="2"/>
      <c r="P563" s="2"/>
    </row>
    <row r="564" spans="2:16" ht="15.75" customHeight="1" x14ac:dyDescent="0.25">
      <c r="B564" s="2"/>
      <c r="C564" s="2"/>
      <c r="H564" s="25"/>
      <c r="I564" s="24"/>
      <c r="J564" s="2"/>
      <c r="K564" s="2"/>
      <c r="L564" s="2"/>
      <c r="N564" s="24"/>
      <c r="O564" s="2"/>
      <c r="P564" s="2"/>
    </row>
    <row r="565" spans="2:16" ht="15.75" customHeight="1" x14ac:dyDescent="0.25">
      <c r="B565" s="2"/>
      <c r="C565" s="2"/>
      <c r="H565" s="25"/>
      <c r="I565" s="24"/>
      <c r="J565" s="2"/>
      <c r="K565" s="2"/>
      <c r="L565" s="2"/>
      <c r="N565" s="24"/>
      <c r="O565" s="2"/>
      <c r="P565" s="2"/>
    </row>
    <row r="566" spans="2:16" ht="15.75" customHeight="1" x14ac:dyDescent="0.25">
      <c r="B566" s="2"/>
      <c r="C566" s="2"/>
      <c r="H566" s="25"/>
      <c r="I566" s="24"/>
      <c r="J566" s="2"/>
      <c r="K566" s="2"/>
      <c r="L566" s="2"/>
      <c r="N566" s="24"/>
      <c r="O566" s="2"/>
      <c r="P566" s="2"/>
    </row>
    <row r="567" spans="2:16" ht="15.75" customHeight="1" x14ac:dyDescent="0.25">
      <c r="B567" s="2"/>
      <c r="C567" s="2"/>
      <c r="H567" s="25"/>
      <c r="I567" s="24"/>
      <c r="J567" s="2"/>
      <c r="K567" s="2"/>
      <c r="L567" s="2"/>
      <c r="N567" s="24"/>
      <c r="O567" s="2"/>
      <c r="P567" s="2"/>
    </row>
    <row r="568" spans="2:16" ht="15.75" customHeight="1" x14ac:dyDescent="0.25">
      <c r="B568" s="2"/>
      <c r="C568" s="2"/>
      <c r="H568" s="25"/>
      <c r="I568" s="24"/>
      <c r="J568" s="2"/>
      <c r="K568" s="2"/>
      <c r="L568" s="2"/>
      <c r="N568" s="24"/>
      <c r="O568" s="2"/>
      <c r="P568" s="2"/>
    </row>
    <row r="569" spans="2:16" ht="15.75" customHeight="1" x14ac:dyDescent="0.25">
      <c r="B569" s="2"/>
      <c r="C569" s="2"/>
      <c r="H569" s="25"/>
      <c r="I569" s="24"/>
      <c r="J569" s="2"/>
      <c r="K569" s="2"/>
      <c r="L569" s="2"/>
      <c r="N569" s="24"/>
      <c r="O569" s="2"/>
      <c r="P569" s="2"/>
    </row>
    <row r="570" spans="2:16" ht="15.75" customHeight="1" x14ac:dyDescent="0.25">
      <c r="B570" s="2"/>
      <c r="C570" s="2"/>
      <c r="H570" s="25"/>
      <c r="I570" s="24"/>
      <c r="J570" s="2"/>
      <c r="K570" s="2"/>
      <c r="L570" s="2"/>
      <c r="N570" s="24"/>
      <c r="O570" s="2"/>
      <c r="P570" s="2"/>
    </row>
    <row r="571" spans="2:16" ht="15.75" customHeight="1" x14ac:dyDescent="0.25">
      <c r="B571" s="2"/>
      <c r="C571" s="2"/>
      <c r="H571" s="25"/>
      <c r="I571" s="24"/>
      <c r="J571" s="2"/>
      <c r="K571" s="2"/>
      <c r="L571" s="2"/>
      <c r="N571" s="24"/>
      <c r="O571" s="2"/>
      <c r="P571" s="2"/>
    </row>
    <row r="572" spans="2:16" ht="15.75" customHeight="1" x14ac:dyDescent="0.25">
      <c r="B572" s="2"/>
      <c r="C572" s="2"/>
      <c r="H572" s="25"/>
      <c r="I572" s="24"/>
      <c r="J572" s="2"/>
      <c r="K572" s="2"/>
      <c r="L572" s="2"/>
      <c r="N572" s="24"/>
      <c r="O572" s="2"/>
      <c r="P572" s="2"/>
    </row>
    <row r="573" spans="2:16" ht="15.75" customHeight="1" x14ac:dyDescent="0.25">
      <c r="B573" s="2"/>
      <c r="C573" s="2"/>
      <c r="H573" s="25"/>
      <c r="I573" s="24"/>
      <c r="J573" s="2"/>
      <c r="K573" s="2"/>
      <c r="L573" s="2"/>
      <c r="N573" s="24"/>
      <c r="O573" s="2"/>
      <c r="P573" s="2"/>
    </row>
    <row r="574" spans="2:16" ht="15.75" customHeight="1" x14ac:dyDescent="0.25">
      <c r="B574" s="2"/>
      <c r="C574" s="2"/>
      <c r="H574" s="25"/>
      <c r="I574" s="24"/>
      <c r="J574" s="2"/>
      <c r="K574" s="2"/>
      <c r="L574" s="2"/>
      <c r="N574" s="24"/>
      <c r="O574" s="2"/>
      <c r="P574" s="2"/>
    </row>
    <row r="575" spans="2:16" ht="15.75" customHeight="1" x14ac:dyDescent="0.25">
      <c r="B575" s="2"/>
      <c r="C575" s="2"/>
      <c r="H575" s="25"/>
      <c r="I575" s="24"/>
      <c r="J575" s="2"/>
      <c r="K575" s="2"/>
      <c r="L575" s="2"/>
      <c r="N575" s="24"/>
      <c r="O575" s="2"/>
      <c r="P575" s="2"/>
    </row>
    <row r="576" spans="2:16" ht="15.75" customHeight="1" x14ac:dyDescent="0.25">
      <c r="B576" s="2"/>
      <c r="C576" s="2"/>
      <c r="H576" s="25"/>
      <c r="I576" s="24"/>
      <c r="J576" s="2"/>
      <c r="K576" s="2"/>
      <c r="L576" s="2"/>
      <c r="N576" s="24"/>
      <c r="O576" s="2"/>
      <c r="P576" s="2"/>
    </row>
    <row r="577" spans="2:16" ht="15.75" customHeight="1" x14ac:dyDescent="0.25">
      <c r="B577" s="2"/>
      <c r="C577" s="2"/>
      <c r="H577" s="25"/>
      <c r="I577" s="24"/>
      <c r="J577" s="2"/>
      <c r="K577" s="2"/>
      <c r="L577" s="2"/>
      <c r="N577" s="24"/>
      <c r="O577" s="2"/>
      <c r="P577" s="2"/>
    </row>
    <row r="578" spans="2:16" ht="15.75" customHeight="1" x14ac:dyDescent="0.25">
      <c r="B578" s="2"/>
      <c r="C578" s="2"/>
      <c r="H578" s="25"/>
      <c r="I578" s="24"/>
      <c r="J578" s="2"/>
      <c r="K578" s="2"/>
      <c r="L578" s="2"/>
      <c r="N578" s="24"/>
      <c r="O578" s="2"/>
      <c r="P578" s="2"/>
    </row>
    <row r="579" spans="2:16" ht="15.75" customHeight="1" x14ac:dyDescent="0.25">
      <c r="B579" s="2"/>
      <c r="C579" s="2"/>
      <c r="H579" s="25"/>
      <c r="I579" s="24"/>
      <c r="J579" s="2"/>
      <c r="K579" s="2"/>
      <c r="L579" s="2"/>
      <c r="N579" s="24"/>
      <c r="O579" s="2"/>
      <c r="P579" s="2"/>
    </row>
    <row r="580" spans="2:16" ht="15.75" customHeight="1" x14ac:dyDescent="0.25">
      <c r="B580" s="2"/>
      <c r="C580" s="2"/>
      <c r="H580" s="25"/>
      <c r="I580" s="24"/>
      <c r="J580" s="2"/>
      <c r="K580" s="2"/>
      <c r="L580" s="2"/>
      <c r="N580" s="24"/>
      <c r="O580" s="2"/>
      <c r="P580" s="2"/>
    </row>
    <row r="581" spans="2:16" ht="15.75" customHeight="1" x14ac:dyDescent="0.25">
      <c r="B581" s="2"/>
      <c r="C581" s="2"/>
      <c r="H581" s="25"/>
      <c r="I581" s="24"/>
      <c r="J581" s="2"/>
      <c r="K581" s="2"/>
      <c r="L581" s="2"/>
      <c r="N581" s="24"/>
      <c r="O581" s="2"/>
      <c r="P581" s="2"/>
    </row>
    <row r="582" spans="2:16" ht="15.75" customHeight="1" x14ac:dyDescent="0.25">
      <c r="B582" s="2"/>
      <c r="C582" s="2"/>
      <c r="H582" s="25"/>
      <c r="I582" s="24"/>
      <c r="J582" s="2"/>
      <c r="K582" s="2"/>
      <c r="L582" s="2"/>
      <c r="N582" s="24"/>
      <c r="O582" s="2"/>
      <c r="P582" s="2"/>
    </row>
    <row r="583" spans="2:16" ht="15.75" customHeight="1" x14ac:dyDescent="0.25">
      <c r="B583" s="2"/>
      <c r="C583" s="2"/>
      <c r="H583" s="25"/>
      <c r="I583" s="24"/>
      <c r="J583" s="2"/>
      <c r="K583" s="2"/>
      <c r="L583" s="2"/>
      <c r="N583" s="24"/>
      <c r="O583" s="2"/>
      <c r="P583" s="2"/>
    </row>
    <row r="584" spans="2:16" ht="15.75" customHeight="1" x14ac:dyDescent="0.25">
      <c r="B584" s="2"/>
      <c r="C584" s="2"/>
      <c r="H584" s="25"/>
      <c r="I584" s="24"/>
      <c r="J584" s="2"/>
      <c r="K584" s="2"/>
      <c r="L584" s="2"/>
      <c r="N584" s="24"/>
      <c r="O584" s="2"/>
      <c r="P584" s="2"/>
    </row>
    <row r="585" spans="2:16" ht="15.75" customHeight="1" x14ac:dyDescent="0.25">
      <c r="B585" s="2"/>
      <c r="C585" s="2"/>
      <c r="H585" s="25"/>
      <c r="I585" s="24"/>
      <c r="J585" s="2"/>
      <c r="K585" s="2"/>
      <c r="L585" s="2"/>
      <c r="N585" s="24"/>
      <c r="O585" s="2"/>
      <c r="P585" s="2"/>
    </row>
    <row r="586" spans="2:16" ht="15.75" customHeight="1" x14ac:dyDescent="0.25">
      <c r="B586" s="2"/>
      <c r="C586" s="2"/>
      <c r="H586" s="25"/>
      <c r="I586" s="24"/>
      <c r="J586" s="2"/>
      <c r="K586" s="2"/>
      <c r="L586" s="2"/>
      <c r="N586" s="24"/>
      <c r="O586" s="2"/>
      <c r="P586" s="2"/>
    </row>
    <row r="587" spans="2:16" ht="15.75" customHeight="1" x14ac:dyDescent="0.25">
      <c r="B587" s="2"/>
      <c r="C587" s="2"/>
      <c r="H587" s="25"/>
      <c r="I587" s="24"/>
      <c r="J587" s="2"/>
      <c r="K587" s="2"/>
      <c r="L587" s="2"/>
      <c r="N587" s="24"/>
      <c r="O587" s="2"/>
      <c r="P587" s="2"/>
    </row>
    <row r="588" spans="2:16" ht="15.75" customHeight="1" x14ac:dyDescent="0.25">
      <c r="B588" s="2"/>
      <c r="C588" s="2"/>
      <c r="H588" s="25"/>
      <c r="I588" s="24"/>
      <c r="J588" s="2"/>
      <c r="K588" s="2"/>
      <c r="L588" s="2"/>
      <c r="N588" s="24"/>
      <c r="O588" s="2"/>
      <c r="P588" s="2"/>
    </row>
    <row r="589" spans="2:16" ht="15.75" customHeight="1" x14ac:dyDescent="0.25">
      <c r="B589" s="2"/>
      <c r="C589" s="2"/>
      <c r="H589" s="25"/>
      <c r="I589" s="24"/>
      <c r="J589" s="2"/>
      <c r="K589" s="2"/>
      <c r="L589" s="2"/>
      <c r="N589" s="24"/>
      <c r="O589" s="2"/>
      <c r="P589" s="2"/>
    </row>
    <row r="590" spans="2:16" ht="15.75" customHeight="1" x14ac:dyDescent="0.25">
      <c r="B590" s="2"/>
      <c r="C590" s="2"/>
      <c r="H590" s="25"/>
      <c r="I590" s="24"/>
      <c r="J590" s="2"/>
      <c r="K590" s="2"/>
      <c r="L590" s="2"/>
      <c r="N590" s="24"/>
      <c r="O590" s="2"/>
      <c r="P590" s="2"/>
    </row>
    <row r="591" spans="2:16" ht="15.75" customHeight="1" x14ac:dyDescent="0.25">
      <c r="B591" s="2"/>
      <c r="C591" s="2"/>
      <c r="H591" s="25"/>
      <c r="I591" s="24"/>
      <c r="J591" s="2"/>
      <c r="K591" s="2"/>
      <c r="L591" s="2"/>
      <c r="N591" s="24"/>
      <c r="O591" s="2"/>
      <c r="P591" s="2"/>
    </row>
    <row r="592" spans="2:16" ht="15.75" customHeight="1" x14ac:dyDescent="0.25">
      <c r="B592" s="2"/>
      <c r="C592" s="2"/>
      <c r="H592" s="25"/>
      <c r="I592" s="24"/>
      <c r="J592" s="2"/>
      <c r="K592" s="2"/>
      <c r="L592" s="2"/>
      <c r="N592" s="24"/>
      <c r="O592" s="2"/>
      <c r="P592" s="2"/>
    </row>
    <row r="593" spans="2:16" ht="15.75" customHeight="1" x14ac:dyDescent="0.25">
      <c r="B593" s="2"/>
      <c r="C593" s="2"/>
      <c r="H593" s="25"/>
      <c r="I593" s="24"/>
      <c r="J593" s="2"/>
      <c r="K593" s="2"/>
      <c r="L593" s="2"/>
      <c r="N593" s="24"/>
      <c r="O593" s="2"/>
      <c r="P593" s="2"/>
    </row>
    <row r="594" spans="2:16" ht="15.75" customHeight="1" x14ac:dyDescent="0.25">
      <c r="B594" s="2"/>
      <c r="C594" s="2"/>
      <c r="H594" s="25"/>
      <c r="I594" s="24"/>
      <c r="J594" s="2"/>
      <c r="K594" s="2"/>
      <c r="L594" s="2"/>
      <c r="N594" s="24"/>
      <c r="O594" s="2"/>
      <c r="P594" s="2"/>
    </row>
    <row r="595" spans="2:16" ht="15.75" customHeight="1" x14ac:dyDescent="0.25">
      <c r="B595" s="2"/>
      <c r="C595" s="2"/>
      <c r="H595" s="25"/>
      <c r="I595" s="24"/>
      <c r="J595" s="2"/>
      <c r="K595" s="2"/>
      <c r="L595" s="2"/>
      <c r="N595" s="24"/>
      <c r="O595" s="2"/>
      <c r="P595" s="2"/>
    </row>
    <row r="596" spans="2:16" ht="15.75" customHeight="1" x14ac:dyDescent="0.25">
      <c r="B596" s="2"/>
      <c r="C596" s="2"/>
      <c r="H596" s="25"/>
      <c r="I596" s="24"/>
      <c r="J596" s="2"/>
      <c r="K596" s="2"/>
      <c r="L596" s="2"/>
      <c r="N596" s="24"/>
      <c r="O596" s="2"/>
      <c r="P596" s="2"/>
    </row>
    <row r="597" spans="2:16" ht="15.75" customHeight="1" x14ac:dyDescent="0.25">
      <c r="B597" s="2"/>
      <c r="C597" s="2"/>
      <c r="H597" s="25"/>
      <c r="I597" s="24"/>
      <c r="J597" s="2"/>
      <c r="K597" s="2"/>
      <c r="L597" s="2"/>
      <c r="N597" s="24"/>
      <c r="O597" s="2"/>
      <c r="P597" s="2"/>
    </row>
    <row r="598" spans="2:16" ht="15.75" customHeight="1" x14ac:dyDescent="0.25">
      <c r="B598" s="2"/>
      <c r="C598" s="2"/>
      <c r="H598" s="25"/>
      <c r="I598" s="24"/>
      <c r="J598" s="2"/>
      <c r="K598" s="2"/>
      <c r="L598" s="2"/>
      <c r="N598" s="24"/>
      <c r="O598" s="2"/>
      <c r="P598" s="2"/>
    </row>
    <row r="599" spans="2:16" ht="15.75" customHeight="1" x14ac:dyDescent="0.25">
      <c r="B599" s="2"/>
      <c r="C599" s="2"/>
      <c r="H599" s="25"/>
      <c r="I599" s="24"/>
      <c r="J599" s="2"/>
      <c r="K599" s="2"/>
      <c r="L599" s="2"/>
      <c r="N599" s="24"/>
      <c r="O599" s="2"/>
      <c r="P599" s="2"/>
    </row>
    <row r="600" spans="2:16" ht="15.75" customHeight="1" x14ac:dyDescent="0.25">
      <c r="B600" s="2"/>
      <c r="C600" s="2"/>
      <c r="H600" s="25"/>
      <c r="I600" s="24"/>
      <c r="J600" s="2"/>
      <c r="K600" s="2"/>
      <c r="L600" s="2"/>
      <c r="N600" s="24"/>
      <c r="O600" s="2"/>
      <c r="P600" s="2"/>
    </row>
    <row r="601" spans="2:16" ht="15.75" customHeight="1" x14ac:dyDescent="0.25">
      <c r="B601" s="2"/>
      <c r="C601" s="2"/>
      <c r="H601" s="25"/>
      <c r="I601" s="24"/>
      <c r="J601" s="2"/>
      <c r="K601" s="2"/>
      <c r="L601" s="2"/>
      <c r="N601" s="24"/>
      <c r="O601" s="2"/>
      <c r="P601" s="2"/>
    </row>
    <row r="602" spans="2:16" ht="15.75" customHeight="1" x14ac:dyDescent="0.25">
      <c r="B602" s="2"/>
      <c r="C602" s="2"/>
      <c r="H602" s="25"/>
      <c r="I602" s="24"/>
      <c r="J602" s="2"/>
      <c r="K602" s="2"/>
      <c r="L602" s="2"/>
      <c r="N602" s="24"/>
      <c r="O602" s="2"/>
      <c r="P602" s="2"/>
    </row>
    <row r="603" spans="2:16" ht="15.75" customHeight="1" x14ac:dyDescent="0.25">
      <c r="B603" s="2"/>
      <c r="C603" s="2"/>
      <c r="H603" s="25"/>
      <c r="I603" s="24"/>
      <c r="J603" s="2"/>
      <c r="K603" s="2"/>
      <c r="L603" s="2"/>
      <c r="N603" s="24"/>
      <c r="O603" s="2"/>
      <c r="P603" s="2"/>
    </row>
    <row r="604" spans="2:16" ht="15.75" customHeight="1" x14ac:dyDescent="0.25">
      <c r="B604" s="2"/>
      <c r="C604" s="2"/>
      <c r="H604" s="25"/>
      <c r="I604" s="24"/>
      <c r="J604" s="2"/>
      <c r="K604" s="2"/>
      <c r="L604" s="2"/>
      <c r="N604" s="24"/>
      <c r="O604" s="2"/>
      <c r="P604" s="2"/>
    </row>
    <row r="605" spans="2:16" ht="15.75" customHeight="1" x14ac:dyDescent="0.25">
      <c r="B605" s="2"/>
      <c r="C605" s="2"/>
      <c r="H605" s="25"/>
      <c r="I605" s="24"/>
      <c r="J605" s="2"/>
      <c r="K605" s="2"/>
      <c r="L605" s="2"/>
      <c r="N605" s="24"/>
      <c r="O605" s="2"/>
      <c r="P605" s="2"/>
    </row>
    <row r="606" spans="2:16" ht="15.75" customHeight="1" x14ac:dyDescent="0.25">
      <c r="B606" s="2"/>
      <c r="C606" s="2"/>
      <c r="H606" s="25"/>
      <c r="I606" s="24"/>
      <c r="J606" s="2"/>
      <c r="K606" s="2"/>
      <c r="L606" s="2"/>
      <c r="N606" s="24"/>
      <c r="O606" s="2"/>
      <c r="P606" s="2"/>
    </row>
    <row r="607" spans="2:16" ht="15.75" customHeight="1" x14ac:dyDescent="0.25">
      <c r="B607" s="2"/>
      <c r="C607" s="2"/>
      <c r="H607" s="25"/>
      <c r="I607" s="24"/>
      <c r="J607" s="2"/>
      <c r="K607" s="2"/>
      <c r="L607" s="2"/>
      <c r="N607" s="24"/>
      <c r="O607" s="2"/>
      <c r="P607" s="2"/>
    </row>
    <row r="608" spans="2:16" ht="15.75" customHeight="1" x14ac:dyDescent="0.25">
      <c r="B608" s="2"/>
      <c r="C608" s="2"/>
      <c r="H608" s="25"/>
      <c r="I608" s="24"/>
      <c r="J608" s="2"/>
      <c r="K608" s="2"/>
      <c r="L608" s="2"/>
      <c r="N608" s="24"/>
      <c r="O608" s="2"/>
      <c r="P608" s="2"/>
    </row>
    <row r="609" spans="2:16" ht="15.75" customHeight="1" x14ac:dyDescent="0.25">
      <c r="B609" s="2"/>
      <c r="C609" s="2"/>
      <c r="H609" s="25"/>
      <c r="I609" s="24"/>
      <c r="J609" s="2"/>
      <c r="K609" s="2"/>
      <c r="L609" s="2"/>
      <c r="N609" s="24"/>
      <c r="O609" s="2"/>
      <c r="P609" s="2"/>
    </row>
    <row r="610" spans="2:16" ht="15.75" customHeight="1" x14ac:dyDescent="0.25">
      <c r="B610" s="2"/>
      <c r="C610" s="2"/>
      <c r="H610" s="25"/>
      <c r="I610" s="24"/>
      <c r="J610" s="2"/>
      <c r="K610" s="2"/>
      <c r="L610" s="2"/>
      <c r="N610" s="24"/>
      <c r="O610" s="2"/>
      <c r="P610" s="2"/>
    </row>
    <row r="611" spans="2:16" ht="15.75" customHeight="1" x14ac:dyDescent="0.25">
      <c r="B611" s="2"/>
      <c r="C611" s="2"/>
      <c r="H611" s="25"/>
      <c r="I611" s="24"/>
      <c r="J611" s="2"/>
      <c r="K611" s="2"/>
      <c r="L611" s="2"/>
      <c r="N611" s="24"/>
      <c r="O611" s="2"/>
      <c r="P611" s="2"/>
    </row>
    <row r="612" spans="2:16" ht="15.75" customHeight="1" x14ac:dyDescent="0.25">
      <c r="B612" s="2"/>
      <c r="C612" s="2"/>
      <c r="H612" s="25"/>
      <c r="I612" s="24"/>
      <c r="J612" s="2"/>
      <c r="K612" s="2"/>
      <c r="L612" s="2"/>
      <c r="N612" s="24"/>
      <c r="O612" s="2"/>
      <c r="P612" s="2"/>
    </row>
    <row r="613" spans="2:16" ht="15.75" customHeight="1" x14ac:dyDescent="0.25">
      <c r="B613" s="2"/>
      <c r="C613" s="2"/>
      <c r="H613" s="25"/>
      <c r="I613" s="24"/>
      <c r="J613" s="2"/>
      <c r="K613" s="2"/>
      <c r="L613" s="2"/>
      <c r="N613" s="24"/>
      <c r="O613" s="2"/>
      <c r="P613" s="2"/>
    </row>
    <row r="614" spans="2:16" ht="15.75" customHeight="1" x14ac:dyDescent="0.25">
      <c r="B614" s="2"/>
      <c r="C614" s="2"/>
      <c r="H614" s="25"/>
      <c r="I614" s="24"/>
      <c r="J614" s="2"/>
      <c r="K614" s="2"/>
      <c r="L614" s="2"/>
      <c r="N614" s="24"/>
      <c r="O614" s="2"/>
      <c r="P614" s="2"/>
    </row>
    <row r="615" spans="2:16" ht="15.75" customHeight="1" x14ac:dyDescent="0.25">
      <c r="B615" s="2"/>
      <c r="C615" s="2"/>
      <c r="H615" s="25"/>
      <c r="I615" s="24"/>
      <c r="J615" s="2"/>
      <c r="K615" s="2"/>
      <c r="L615" s="2"/>
      <c r="N615" s="24"/>
      <c r="O615" s="2"/>
      <c r="P615" s="2"/>
    </row>
    <row r="616" spans="2:16" ht="15.75" customHeight="1" x14ac:dyDescent="0.25">
      <c r="B616" s="2"/>
      <c r="C616" s="2"/>
      <c r="H616" s="25"/>
      <c r="I616" s="24"/>
      <c r="J616" s="2"/>
      <c r="K616" s="2"/>
      <c r="L616" s="2"/>
      <c r="N616" s="24"/>
      <c r="O616" s="2"/>
      <c r="P616" s="2"/>
    </row>
    <row r="617" spans="2:16" ht="15.75" customHeight="1" x14ac:dyDescent="0.25">
      <c r="B617" s="2"/>
      <c r="C617" s="2"/>
      <c r="H617" s="25"/>
      <c r="I617" s="24"/>
      <c r="J617" s="2"/>
      <c r="K617" s="2"/>
      <c r="L617" s="2"/>
      <c r="N617" s="24"/>
      <c r="O617" s="2"/>
      <c r="P617" s="2"/>
    </row>
    <row r="618" spans="2:16" ht="15.75" customHeight="1" x14ac:dyDescent="0.25">
      <c r="B618" s="2"/>
      <c r="C618" s="2"/>
      <c r="H618" s="25"/>
      <c r="I618" s="24"/>
      <c r="J618" s="2"/>
      <c r="K618" s="2"/>
      <c r="L618" s="2"/>
      <c r="N618" s="24"/>
      <c r="O618" s="2"/>
      <c r="P618" s="2"/>
    </row>
    <row r="619" spans="2:16" ht="15.75" customHeight="1" x14ac:dyDescent="0.25">
      <c r="B619" s="2"/>
      <c r="C619" s="2"/>
      <c r="H619" s="25"/>
      <c r="I619" s="24"/>
      <c r="J619" s="2"/>
      <c r="K619" s="2"/>
      <c r="L619" s="2"/>
      <c r="N619" s="24"/>
      <c r="O619" s="2"/>
      <c r="P619" s="2"/>
    </row>
    <row r="620" spans="2:16" ht="15.75" customHeight="1" x14ac:dyDescent="0.25">
      <c r="B620" s="2"/>
      <c r="C620" s="2"/>
      <c r="H620" s="25"/>
      <c r="I620" s="24"/>
      <c r="J620" s="2"/>
      <c r="K620" s="2"/>
      <c r="L620" s="2"/>
      <c r="N620" s="24"/>
      <c r="O620" s="2"/>
      <c r="P620" s="2"/>
    </row>
    <row r="621" spans="2:16" ht="15.75" customHeight="1" x14ac:dyDescent="0.25">
      <c r="B621" s="2"/>
      <c r="C621" s="2"/>
      <c r="H621" s="25"/>
      <c r="I621" s="24"/>
      <c r="J621" s="2"/>
      <c r="K621" s="2"/>
      <c r="L621" s="2"/>
      <c r="N621" s="24"/>
      <c r="O621" s="2"/>
      <c r="P621" s="2"/>
    </row>
    <row r="622" spans="2:16" ht="15.75" customHeight="1" x14ac:dyDescent="0.25">
      <c r="B622" s="2"/>
      <c r="C622" s="2"/>
      <c r="H622" s="25"/>
      <c r="I622" s="24"/>
      <c r="J622" s="2"/>
      <c r="K622" s="2"/>
      <c r="L622" s="2"/>
      <c r="N622" s="24"/>
      <c r="O622" s="2"/>
      <c r="P622" s="2"/>
    </row>
    <row r="623" spans="2:16" ht="15.75" customHeight="1" x14ac:dyDescent="0.25">
      <c r="B623" s="2"/>
      <c r="C623" s="2"/>
      <c r="H623" s="25"/>
      <c r="I623" s="24"/>
      <c r="J623" s="2"/>
      <c r="K623" s="2"/>
      <c r="L623" s="2"/>
      <c r="N623" s="24"/>
      <c r="O623" s="2"/>
      <c r="P623" s="2"/>
    </row>
    <row r="624" spans="2:16" ht="15.75" customHeight="1" x14ac:dyDescent="0.25">
      <c r="B624" s="2"/>
      <c r="C624" s="2"/>
      <c r="H624" s="25"/>
      <c r="I624" s="24"/>
      <c r="J624" s="2"/>
      <c r="K624" s="2"/>
      <c r="L624" s="2"/>
      <c r="N624" s="24"/>
      <c r="O624" s="2"/>
      <c r="P624" s="2"/>
    </row>
    <row r="625" spans="2:16" ht="15.75" customHeight="1" x14ac:dyDescent="0.25">
      <c r="B625" s="2"/>
      <c r="C625" s="2"/>
      <c r="H625" s="25"/>
      <c r="I625" s="24"/>
      <c r="J625" s="2"/>
      <c r="K625" s="2"/>
      <c r="L625" s="2"/>
      <c r="N625" s="24"/>
      <c r="O625" s="2"/>
      <c r="P625" s="2"/>
    </row>
    <row r="626" spans="2:16" ht="15.75" customHeight="1" x14ac:dyDescent="0.25">
      <c r="B626" s="2"/>
      <c r="C626" s="2"/>
      <c r="H626" s="25"/>
      <c r="I626" s="24"/>
      <c r="J626" s="2"/>
      <c r="K626" s="2"/>
      <c r="L626" s="2"/>
      <c r="N626" s="24"/>
      <c r="O626" s="2"/>
      <c r="P626" s="2"/>
    </row>
    <row r="627" spans="2:16" ht="15.75" customHeight="1" x14ac:dyDescent="0.25">
      <c r="B627" s="2"/>
      <c r="C627" s="2"/>
      <c r="H627" s="25"/>
      <c r="I627" s="24"/>
      <c r="J627" s="2"/>
      <c r="K627" s="2"/>
      <c r="L627" s="2"/>
      <c r="N627" s="24"/>
      <c r="O627" s="2"/>
      <c r="P627" s="2"/>
    </row>
    <row r="628" spans="2:16" ht="15.75" customHeight="1" x14ac:dyDescent="0.25">
      <c r="B628" s="2"/>
      <c r="C628" s="2"/>
      <c r="H628" s="25"/>
      <c r="I628" s="24"/>
      <c r="J628" s="2"/>
      <c r="K628" s="2"/>
      <c r="L628" s="2"/>
      <c r="N628" s="24"/>
      <c r="O628" s="2"/>
      <c r="P628" s="2"/>
    </row>
    <row r="629" spans="2:16" ht="15.75" customHeight="1" x14ac:dyDescent="0.25">
      <c r="B629" s="2"/>
      <c r="C629" s="2"/>
      <c r="H629" s="25"/>
      <c r="I629" s="24"/>
      <c r="J629" s="2"/>
      <c r="K629" s="2"/>
      <c r="L629" s="2"/>
      <c r="N629" s="24"/>
      <c r="O629" s="2"/>
      <c r="P629" s="2"/>
    </row>
    <row r="630" spans="2:16" ht="15.75" customHeight="1" x14ac:dyDescent="0.25">
      <c r="B630" s="2"/>
      <c r="C630" s="2"/>
      <c r="H630" s="25"/>
      <c r="I630" s="24"/>
      <c r="J630" s="2"/>
      <c r="K630" s="2"/>
      <c r="L630" s="2"/>
      <c r="N630" s="24"/>
      <c r="O630" s="2"/>
      <c r="P630" s="2"/>
    </row>
    <row r="631" spans="2:16" ht="15.75" customHeight="1" x14ac:dyDescent="0.25">
      <c r="B631" s="2"/>
      <c r="C631" s="2"/>
      <c r="H631" s="25"/>
      <c r="I631" s="24"/>
      <c r="J631" s="2"/>
      <c r="K631" s="2"/>
      <c r="L631" s="2"/>
      <c r="N631" s="24"/>
      <c r="O631" s="2"/>
      <c r="P631" s="2"/>
    </row>
    <row r="632" spans="2:16" ht="15.75" customHeight="1" x14ac:dyDescent="0.25">
      <c r="B632" s="2"/>
      <c r="C632" s="2"/>
      <c r="H632" s="25"/>
      <c r="I632" s="24"/>
      <c r="J632" s="2"/>
      <c r="K632" s="2"/>
      <c r="L632" s="2"/>
      <c r="N632" s="24"/>
      <c r="O632" s="2"/>
      <c r="P632" s="2"/>
    </row>
    <row r="633" spans="2:16" ht="15.75" customHeight="1" x14ac:dyDescent="0.25">
      <c r="B633" s="2"/>
      <c r="C633" s="2"/>
      <c r="H633" s="25"/>
      <c r="I633" s="24"/>
      <c r="J633" s="2"/>
      <c r="K633" s="2"/>
      <c r="L633" s="2"/>
      <c r="N633" s="24"/>
      <c r="O633" s="2"/>
      <c r="P633" s="2"/>
    </row>
    <row r="634" spans="2:16" ht="15.75" customHeight="1" x14ac:dyDescent="0.25">
      <c r="B634" s="2"/>
      <c r="C634" s="2"/>
      <c r="H634" s="25"/>
      <c r="I634" s="24"/>
      <c r="J634" s="2"/>
      <c r="K634" s="2"/>
      <c r="L634" s="2"/>
      <c r="N634" s="24"/>
      <c r="O634" s="2"/>
      <c r="P634" s="2"/>
    </row>
    <row r="635" spans="2:16" ht="15.75" customHeight="1" x14ac:dyDescent="0.25">
      <c r="B635" s="2"/>
      <c r="C635" s="2"/>
      <c r="H635" s="25"/>
      <c r="I635" s="24"/>
      <c r="J635" s="2"/>
      <c r="K635" s="2"/>
      <c r="L635" s="2"/>
      <c r="N635" s="24"/>
      <c r="O635" s="2"/>
      <c r="P635" s="2"/>
    </row>
    <row r="636" spans="2:16" ht="15.75" customHeight="1" x14ac:dyDescent="0.25">
      <c r="B636" s="2"/>
      <c r="C636" s="2"/>
      <c r="H636" s="25"/>
      <c r="I636" s="24"/>
      <c r="J636" s="2"/>
      <c r="K636" s="2"/>
      <c r="L636" s="2"/>
      <c r="N636" s="24"/>
      <c r="O636" s="2"/>
      <c r="P636" s="2"/>
    </row>
    <row r="637" spans="2:16" ht="15.75" customHeight="1" x14ac:dyDescent="0.25">
      <c r="B637" s="2"/>
      <c r="C637" s="2"/>
      <c r="H637" s="25"/>
      <c r="I637" s="24"/>
      <c r="J637" s="2"/>
      <c r="K637" s="2"/>
      <c r="L637" s="2"/>
      <c r="N637" s="24"/>
      <c r="O637" s="2"/>
      <c r="P637" s="2"/>
    </row>
    <row r="638" spans="2:16" ht="15.75" customHeight="1" x14ac:dyDescent="0.25">
      <c r="B638" s="2"/>
      <c r="C638" s="2"/>
      <c r="H638" s="25"/>
      <c r="I638" s="24"/>
      <c r="J638" s="2"/>
      <c r="K638" s="2"/>
      <c r="L638" s="2"/>
      <c r="N638" s="24"/>
      <c r="O638" s="2"/>
      <c r="P638" s="2"/>
    </row>
    <row r="639" spans="2:16" ht="15.75" customHeight="1" x14ac:dyDescent="0.25">
      <c r="B639" s="2"/>
      <c r="C639" s="2"/>
      <c r="H639" s="25"/>
      <c r="I639" s="24"/>
      <c r="J639" s="2"/>
      <c r="K639" s="2"/>
      <c r="L639" s="2"/>
      <c r="N639" s="24"/>
      <c r="O639" s="2"/>
      <c r="P639" s="2"/>
    </row>
    <row r="640" spans="2:16" ht="15.75" customHeight="1" x14ac:dyDescent="0.25">
      <c r="B640" s="2"/>
      <c r="C640" s="2"/>
      <c r="H640" s="25"/>
      <c r="I640" s="24"/>
      <c r="J640" s="2"/>
      <c r="K640" s="2"/>
      <c r="L640" s="2"/>
      <c r="N640" s="24"/>
      <c r="O640" s="2"/>
      <c r="P640" s="2"/>
    </row>
    <row r="641" spans="2:16" ht="15.75" customHeight="1" x14ac:dyDescent="0.25">
      <c r="B641" s="2"/>
      <c r="C641" s="2"/>
      <c r="H641" s="25"/>
      <c r="I641" s="24"/>
      <c r="J641" s="2"/>
      <c r="K641" s="2"/>
      <c r="L641" s="2"/>
      <c r="N641" s="24"/>
      <c r="O641" s="2"/>
      <c r="P641" s="2"/>
    </row>
    <row r="642" spans="2:16" ht="15.75" customHeight="1" x14ac:dyDescent="0.25">
      <c r="B642" s="2"/>
      <c r="C642" s="2"/>
      <c r="H642" s="25"/>
      <c r="I642" s="24"/>
      <c r="J642" s="2"/>
      <c r="K642" s="2"/>
      <c r="L642" s="2"/>
      <c r="N642" s="24"/>
      <c r="O642" s="2"/>
      <c r="P642" s="2"/>
    </row>
    <row r="643" spans="2:16" ht="15.75" customHeight="1" x14ac:dyDescent="0.25">
      <c r="B643" s="2"/>
      <c r="C643" s="2"/>
      <c r="H643" s="25"/>
      <c r="I643" s="24"/>
      <c r="J643" s="2"/>
      <c r="K643" s="2"/>
      <c r="L643" s="2"/>
      <c r="N643" s="24"/>
      <c r="O643" s="2"/>
      <c r="P643" s="2"/>
    </row>
    <row r="644" spans="2:16" ht="15.75" customHeight="1" x14ac:dyDescent="0.25">
      <c r="B644" s="2"/>
      <c r="C644" s="2"/>
      <c r="H644" s="25"/>
      <c r="I644" s="24"/>
      <c r="J644" s="2"/>
      <c r="K644" s="2"/>
      <c r="L644" s="2"/>
      <c r="N644" s="24"/>
      <c r="O644" s="2"/>
      <c r="P644" s="2"/>
    </row>
    <row r="645" spans="2:16" ht="15.75" customHeight="1" x14ac:dyDescent="0.25">
      <c r="B645" s="2"/>
      <c r="C645" s="2"/>
      <c r="H645" s="25"/>
      <c r="I645" s="24"/>
      <c r="J645" s="2"/>
      <c r="K645" s="2"/>
      <c r="L645" s="2"/>
      <c r="N645" s="24"/>
      <c r="O645" s="2"/>
      <c r="P645" s="2"/>
    </row>
    <row r="646" spans="2:16" ht="15.75" customHeight="1" x14ac:dyDescent="0.25">
      <c r="B646" s="2"/>
      <c r="C646" s="2"/>
      <c r="H646" s="25"/>
      <c r="I646" s="24"/>
      <c r="J646" s="2"/>
      <c r="K646" s="2"/>
      <c r="L646" s="2"/>
      <c r="N646" s="24"/>
      <c r="O646" s="2"/>
      <c r="P646" s="2"/>
    </row>
    <row r="647" spans="2:16" ht="15.75" customHeight="1" x14ac:dyDescent="0.25">
      <c r="B647" s="2"/>
      <c r="C647" s="2"/>
      <c r="H647" s="25"/>
      <c r="I647" s="24"/>
      <c r="J647" s="2"/>
      <c r="K647" s="2"/>
      <c r="L647" s="2"/>
      <c r="N647" s="24"/>
      <c r="O647" s="2"/>
      <c r="P647" s="2"/>
    </row>
    <row r="648" spans="2:16" ht="15.75" customHeight="1" x14ac:dyDescent="0.25">
      <c r="B648" s="2"/>
      <c r="C648" s="2"/>
      <c r="H648" s="25"/>
      <c r="I648" s="24"/>
      <c r="J648" s="2"/>
      <c r="K648" s="2"/>
      <c r="L648" s="2"/>
      <c r="N648" s="24"/>
      <c r="O648" s="2"/>
      <c r="P648" s="2"/>
    </row>
    <row r="649" spans="2:16" ht="15.75" customHeight="1" x14ac:dyDescent="0.25">
      <c r="B649" s="2"/>
      <c r="C649" s="2"/>
      <c r="H649" s="25"/>
      <c r="I649" s="24"/>
      <c r="J649" s="2"/>
      <c r="K649" s="2"/>
      <c r="L649" s="2"/>
      <c r="N649" s="24"/>
      <c r="O649" s="2"/>
      <c r="P649" s="2"/>
    </row>
    <row r="650" spans="2:16" ht="15.75" customHeight="1" x14ac:dyDescent="0.25">
      <c r="B650" s="2"/>
      <c r="C650" s="2"/>
      <c r="H650" s="25"/>
      <c r="I650" s="24"/>
      <c r="J650" s="2"/>
      <c r="K650" s="2"/>
      <c r="L650" s="2"/>
      <c r="N650" s="24"/>
      <c r="O650" s="2"/>
      <c r="P650" s="2"/>
    </row>
    <row r="651" spans="2:16" ht="15.75" customHeight="1" x14ac:dyDescent="0.25">
      <c r="B651" s="2"/>
      <c r="C651" s="2"/>
      <c r="H651" s="25"/>
      <c r="I651" s="24"/>
      <c r="J651" s="2"/>
      <c r="K651" s="2"/>
      <c r="L651" s="2"/>
      <c r="N651" s="24"/>
      <c r="O651" s="2"/>
      <c r="P651" s="2"/>
    </row>
    <row r="652" spans="2:16" ht="15.75" customHeight="1" x14ac:dyDescent="0.25">
      <c r="B652" s="2"/>
      <c r="C652" s="2"/>
      <c r="H652" s="25"/>
      <c r="I652" s="24"/>
      <c r="J652" s="2"/>
      <c r="K652" s="2"/>
      <c r="L652" s="2"/>
      <c r="N652" s="24"/>
      <c r="O652" s="2"/>
      <c r="P652" s="2"/>
    </row>
    <row r="653" spans="2:16" ht="15.75" customHeight="1" x14ac:dyDescent="0.25">
      <c r="B653" s="2"/>
      <c r="C653" s="2"/>
      <c r="H653" s="25"/>
      <c r="I653" s="24"/>
      <c r="J653" s="2"/>
      <c r="K653" s="2"/>
      <c r="L653" s="2"/>
      <c r="N653" s="24"/>
      <c r="O653" s="2"/>
      <c r="P653" s="2"/>
    </row>
    <row r="654" spans="2:16" ht="15.75" customHeight="1" x14ac:dyDescent="0.25">
      <c r="B654" s="2"/>
      <c r="C654" s="2"/>
      <c r="H654" s="25"/>
      <c r="I654" s="24"/>
      <c r="J654" s="2"/>
      <c r="K654" s="2"/>
      <c r="L654" s="2"/>
      <c r="N654" s="24"/>
      <c r="O654" s="2"/>
      <c r="P654" s="2"/>
    </row>
    <row r="655" spans="2:16" ht="15.75" customHeight="1" x14ac:dyDescent="0.25">
      <c r="B655" s="2"/>
      <c r="C655" s="2"/>
      <c r="H655" s="25"/>
      <c r="I655" s="24"/>
      <c r="J655" s="2"/>
      <c r="K655" s="2"/>
      <c r="L655" s="2"/>
      <c r="N655" s="24"/>
      <c r="O655" s="2"/>
      <c r="P655" s="2"/>
    </row>
    <row r="656" spans="2:16" ht="15.75" customHeight="1" x14ac:dyDescent="0.25">
      <c r="B656" s="2"/>
      <c r="C656" s="2"/>
      <c r="H656" s="25"/>
      <c r="I656" s="24"/>
      <c r="J656" s="2"/>
      <c r="K656" s="2"/>
      <c r="L656" s="2"/>
      <c r="N656" s="24"/>
      <c r="O656" s="2"/>
      <c r="P656" s="2"/>
    </row>
    <row r="657" spans="2:16" ht="15.75" customHeight="1" x14ac:dyDescent="0.25">
      <c r="B657" s="2"/>
      <c r="C657" s="2"/>
      <c r="H657" s="25"/>
      <c r="I657" s="24"/>
      <c r="J657" s="2"/>
      <c r="K657" s="2"/>
      <c r="L657" s="2"/>
      <c r="N657" s="24"/>
      <c r="O657" s="2"/>
      <c r="P657" s="2"/>
    </row>
    <row r="658" spans="2:16" ht="15.75" customHeight="1" x14ac:dyDescent="0.25">
      <c r="B658" s="2"/>
      <c r="C658" s="2"/>
      <c r="H658" s="25"/>
      <c r="I658" s="24"/>
      <c r="J658" s="2"/>
      <c r="K658" s="2"/>
      <c r="L658" s="2"/>
      <c r="N658" s="24"/>
      <c r="O658" s="2"/>
      <c r="P658" s="2"/>
    </row>
    <row r="659" spans="2:16" ht="15.75" customHeight="1" x14ac:dyDescent="0.25">
      <c r="B659" s="2"/>
      <c r="C659" s="2"/>
      <c r="H659" s="25"/>
      <c r="I659" s="24"/>
      <c r="J659" s="2"/>
      <c r="K659" s="2"/>
      <c r="L659" s="2"/>
      <c r="N659" s="24"/>
      <c r="O659" s="2"/>
      <c r="P659" s="2"/>
    </row>
    <row r="660" spans="2:16" ht="15.75" customHeight="1" x14ac:dyDescent="0.25">
      <c r="B660" s="2"/>
      <c r="C660" s="2"/>
      <c r="H660" s="25"/>
      <c r="I660" s="24"/>
      <c r="J660" s="2"/>
      <c r="K660" s="2"/>
      <c r="L660" s="2"/>
      <c r="N660" s="24"/>
      <c r="O660" s="2"/>
      <c r="P660" s="2"/>
    </row>
    <row r="661" spans="2:16" ht="15.75" customHeight="1" x14ac:dyDescent="0.25">
      <c r="B661" s="2"/>
      <c r="C661" s="2"/>
      <c r="H661" s="25"/>
      <c r="I661" s="24"/>
      <c r="J661" s="2"/>
      <c r="K661" s="2"/>
      <c r="L661" s="2"/>
      <c r="N661" s="24"/>
      <c r="O661" s="2"/>
      <c r="P661" s="2"/>
    </row>
    <row r="662" spans="2:16" ht="15.75" customHeight="1" x14ac:dyDescent="0.25">
      <c r="B662" s="2"/>
      <c r="C662" s="2"/>
      <c r="H662" s="25"/>
      <c r="I662" s="24"/>
      <c r="J662" s="2"/>
      <c r="K662" s="2"/>
      <c r="L662" s="2"/>
      <c r="N662" s="24"/>
      <c r="O662" s="2"/>
      <c r="P662" s="2"/>
    </row>
    <row r="663" spans="2:16" ht="15.75" customHeight="1" x14ac:dyDescent="0.25">
      <c r="B663" s="2"/>
      <c r="C663" s="2"/>
      <c r="H663" s="25"/>
      <c r="I663" s="24"/>
      <c r="J663" s="2"/>
      <c r="K663" s="2"/>
      <c r="L663" s="2"/>
      <c r="N663" s="24"/>
      <c r="O663" s="2"/>
      <c r="P663" s="2"/>
    </row>
    <row r="664" spans="2:16" ht="15.75" customHeight="1" x14ac:dyDescent="0.25">
      <c r="B664" s="2"/>
      <c r="C664" s="2"/>
      <c r="H664" s="25"/>
      <c r="I664" s="24"/>
      <c r="J664" s="2"/>
      <c r="K664" s="2"/>
      <c r="L664" s="2"/>
      <c r="N664" s="24"/>
      <c r="O664" s="2"/>
      <c r="P664" s="2"/>
    </row>
    <row r="665" spans="2:16" ht="15.75" customHeight="1" x14ac:dyDescent="0.25">
      <c r="B665" s="2"/>
      <c r="C665" s="2"/>
      <c r="H665" s="25"/>
      <c r="I665" s="24"/>
      <c r="J665" s="2"/>
      <c r="K665" s="2"/>
      <c r="L665" s="2"/>
      <c r="N665" s="24"/>
      <c r="O665" s="2"/>
      <c r="P665" s="2"/>
    </row>
    <row r="666" spans="2:16" ht="15.75" customHeight="1" x14ac:dyDescent="0.25">
      <c r="B666" s="2"/>
      <c r="C666" s="2"/>
      <c r="H666" s="25"/>
      <c r="I666" s="24"/>
      <c r="J666" s="2"/>
      <c r="K666" s="2"/>
      <c r="L666" s="2"/>
      <c r="N666" s="24"/>
      <c r="O666" s="2"/>
      <c r="P666" s="2"/>
    </row>
    <row r="667" spans="2:16" ht="15.75" customHeight="1" x14ac:dyDescent="0.25">
      <c r="B667" s="2"/>
      <c r="C667" s="2"/>
      <c r="H667" s="25"/>
      <c r="I667" s="24"/>
      <c r="J667" s="2"/>
      <c r="K667" s="2"/>
      <c r="L667" s="2"/>
      <c r="N667" s="24"/>
      <c r="O667" s="2"/>
      <c r="P667" s="2"/>
    </row>
    <row r="668" spans="2:16" ht="15.75" customHeight="1" x14ac:dyDescent="0.25">
      <c r="B668" s="2"/>
      <c r="C668" s="2"/>
      <c r="H668" s="25"/>
      <c r="I668" s="24"/>
      <c r="J668" s="2"/>
      <c r="K668" s="2"/>
      <c r="L668" s="2"/>
      <c r="N668" s="24"/>
      <c r="O668" s="2"/>
      <c r="P668" s="2"/>
    </row>
    <row r="669" spans="2:16" ht="15.75" customHeight="1" x14ac:dyDescent="0.25">
      <c r="B669" s="2"/>
      <c r="C669" s="2"/>
      <c r="H669" s="25"/>
      <c r="I669" s="24"/>
      <c r="J669" s="2"/>
      <c r="K669" s="2"/>
      <c r="L669" s="2"/>
      <c r="N669" s="24"/>
      <c r="O669" s="2"/>
      <c r="P669" s="2"/>
    </row>
    <row r="670" spans="2:16" ht="15.75" customHeight="1" x14ac:dyDescent="0.25">
      <c r="B670" s="2"/>
      <c r="C670" s="2"/>
      <c r="H670" s="25"/>
      <c r="I670" s="24"/>
      <c r="J670" s="2"/>
      <c r="K670" s="2"/>
      <c r="L670" s="2"/>
      <c r="N670" s="24"/>
      <c r="O670" s="2"/>
      <c r="P670" s="2"/>
    </row>
    <row r="671" spans="2:16" ht="15.75" customHeight="1" x14ac:dyDescent="0.25">
      <c r="B671" s="2"/>
      <c r="C671" s="2"/>
      <c r="H671" s="25"/>
      <c r="I671" s="24"/>
      <c r="J671" s="2"/>
      <c r="K671" s="2"/>
      <c r="L671" s="2"/>
      <c r="N671" s="24"/>
      <c r="O671" s="2"/>
      <c r="P671" s="2"/>
    </row>
    <row r="672" spans="2:16" ht="15.75" customHeight="1" x14ac:dyDescent="0.25">
      <c r="B672" s="2"/>
      <c r="C672" s="2"/>
      <c r="H672" s="25"/>
      <c r="I672" s="24"/>
      <c r="J672" s="2"/>
      <c r="K672" s="2"/>
      <c r="L672" s="2"/>
      <c r="N672" s="24"/>
      <c r="O672" s="2"/>
      <c r="P672" s="2"/>
    </row>
    <row r="673" spans="2:16" ht="15.75" customHeight="1" x14ac:dyDescent="0.25">
      <c r="B673" s="2"/>
      <c r="C673" s="2"/>
      <c r="H673" s="25"/>
      <c r="I673" s="24"/>
      <c r="J673" s="2"/>
      <c r="K673" s="2"/>
      <c r="L673" s="2"/>
      <c r="N673" s="24"/>
      <c r="O673" s="2"/>
      <c r="P673" s="2"/>
    </row>
    <row r="674" spans="2:16" ht="15.75" customHeight="1" x14ac:dyDescent="0.25">
      <c r="B674" s="2"/>
      <c r="C674" s="2"/>
      <c r="H674" s="25"/>
      <c r="I674" s="24"/>
      <c r="J674" s="2"/>
      <c r="K674" s="2"/>
      <c r="L674" s="2"/>
      <c r="N674" s="24"/>
      <c r="O674" s="2"/>
      <c r="P674" s="2"/>
    </row>
    <row r="675" spans="2:16" ht="15.75" customHeight="1" x14ac:dyDescent="0.25">
      <c r="B675" s="2"/>
      <c r="C675" s="2"/>
      <c r="H675" s="25"/>
      <c r="I675" s="24"/>
      <c r="J675" s="2"/>
      <c r="K675" s="2"/>
      <c r="L675" s="2"/>
      <c r="N675" s="24"/>
      <c r="O675" s="2"/>
      <c r="P675" s="2"/>
    </row>
    <row r="676" spans="2:16" ht="15.75" customHeight="1" x14ac:dyDescent="0.25">
      <c r="B676" s="2"/>
      <c r="C676" s="2"/>
      <c r="H676" s="25"/>
      <c r="I676" s="24"/>
      <c r="J676" s="2"/>
      <c r="K676" s="2"/>
      <c r="L676" s="2"/>
      <c r="N676" s="24"/>
      <c r="O676" s="2"/>
      <c r="P676" s="2"/>
    </row>
    <row r="677" spans="2:16" ht="15.75" customHeight="1" x14ac:dyDescent="0.25">
      <c r="B677" s="2"/>
      <c r="C677" s="2"/>
      <c r="H677" s="25"/>
      <c r="I677" s="24"/>
      <c r="J677" s="2"/>
      <c r="K677" s="2"/>
      <c r="L677" s="2"/>
      <c r="N677" s="24"/>
      <c r="O677" s="2"/>
      <c r="P677" s="2"/>
    </row>
    <row r="678" spans="2:16" ht="15.75" customHeight="1" x14ac:dyDescent="0.25">
      <c r="B678" s="2"/>
      <c r="C678" s="2"/>
      <c r="H678" s="25"/>
      <c r="I678" s="24"/>
      <c r="J678" s="2"/>
      <c r="K678" s="2"/>
      <c r="L678" s="2"/>
      <c r="N678" s="24"/>
      <c r="O678" s="2"/>
      <c r="P678" s="2"/>
    </row>
    <row r="679" spans="2:16" ht="15.75" customHeight="1" x14ac:dyDescent="0.25">
      <c r="B679" s="2"/>
      <c r="C679" s="2"/>
      <c r="H679" s="25"/>
      <c r="I679" s="24"/>
      <c r="J679" s="2"/>
      <c r="K679" s="2"/>
      <c r="L679" s="2"/>
      <c r="N679" s="24"/>
      <c r="O679" s="2"/>
      <c r="P679" s="2"/>
    </row>
    <row r="680" spans="2:16" ht="15.75" customHeight="1" x14ac:dyDescent="0.25">
      <c r="B680" s="2"/>
      <c r="C680" s="2"/>
      <c r="H680" s="25"/>
      <c r="I680" s="24"/>
      <c r="J680" s="2"/>
      <c r="K680" s="2"/>
      <c r="L680" s="2"/>
      <c r="N680" s="24"/>
      <c r="O680" s="2"/>
      <c r="P680" s="2"/>
    </row>
    <row r="681" spans="2:16" ht="15.75" customHeight="1" x14ac:dyDescent="0.25">
      <c r="B681" s="2"/>
      <c r="C681" s="2"/>
      <c r="H681" s="25"/>
      <c r="I681" s="24"/>
      <c r="J681" s="2"/>
      <c r="K681" s="2"/>
      <c r="L681" s="2"/>
      <c r="N681" s="24"/>
      <c r="O681" s="2"/>
      <c r="P681" s="2"/>
    </row>
    <row r="682" spans="2:16" ht="15.75" customHeight="1" x14ac:dyDescent="0.25">
      <c r="B682" s="2"/>
      <c r="C682" s="2"/>
      <c r="H682" s="25"/>
      <c r="I682" s="24"/>
      <c r="J682" s="2"/>
      <c r="K682" s="2"/>
      <c r="L682" s="2"/>
      <c r="N682" s="24"/>
      <c r="O682" s="2"/>
      <c r="P682" s="2"/>
    </row>
    <row r="683" spans="2:16" ht="15.75" customHeight="1" x14ac:dyDescent="0.25">
      <c r="B683" s="2"/>
      <c r="C683" s="2"/>
      <c r="H683" s="25"/>
      <c r="I683" s="24"/>
      <c r="J683" s="2"/>
      <c r="K683" s="2"/>
      <c r="L683" s="2"/>
      <c r="N683" s="24"/>
      <c r="O683" s="2"/>
      <c r="P683" s="2"/>
    </row>
    <row r="684" spans="2:16" ht="15.75" customHeight="1" x14ac:dyDescent="0.25">
      <c r="B684" s="2"/>
      <c r="C684" s="2"/>
      <c r="H684" s="25"/>
      <c r="I684" s="24"/>
      <c r="J684" s="2"/>
      <c r="K684" s="2"/>
      <c r="L684" s="2"/>
      <c r="N684" s="24"/>
      <c r="O684" s="2"/>
      <c r="P684" s="2"/>
    </row>
    <row r="685" spans="2:16" ht="15.75" customHeight="1" x14ac:dyDescent="0.25">
      <c r="B685" s="2"/>
      <c r="C685" s="2"/>
      <c r="H685" s="25"/>
      <c r="I685" s="24"/>
      <c r="J685" s="2"/>
      <c r="K685" s="2"/>
      <c r="L685" s="2"/>
      <c r="N685" s="24"/>
      <c r="O685" s="2"/>
      <c r="P685" s="2"/>
    </row>
    <row r="686" spans="2:16" ht="15.75" customHeight="1" x14ac:dyDescent="0.25">
      <c r="B686" s="2"/>
      <c r="C686" s="2"/>
      <c r="H686" s="25"/>
      <c r="I686" s="24"/>
      <c r="J686" s="2"/>
      <c r="K686" s="2"/>
      <c r="L686" s="2"/>
      <c r="N686" s="24"/>
      <c r="O686" s="2"/>
      <c r="P686" s="2"/>
    </row>
    <row r="687" spans="2:16" ht="15.75" customHeight="1" x14ac:dyDescent="0.25">
      <c r="B687" s="2"/>
      <c r="C687" s="2"/>
      <c r="H687" s="25"/>
      <c r="I687" s="24"/>
      <c r="J687" s="2"/>
      <c r="K687" s="2"/>
      <c r="L687" s="2"/>
      <c r="N687" s="24"/>
      <c r="O687" s="2"/>
      <c r="P687" s="2"/>
    </row>
    <row r="688" spans="2:16" ht="15.75" customHeight="1" x14ac:dyDescent="0.25">
      <c r="B688" s="2"/>
      <c r="C688" s="2"/>
      <c r="H688" s="25"/>
      <c r="I688" s="24"/>
      <c r="J688" s="2"/>
      <c r="K688" s="2"/>
      <c r="L688" s="2"/>
      <c r="N688" s="24"/>
      <c r="O688" s="2"/>
      <c r="P688" s="2"/>
    </row>
    <row r="689" spans="2:16" ht="15.75" customHeight="1" x14ac:dyDescent="0.25">
      <c r="B689" s="2"/>
      <c r="C689" s="2"/>
      <c r="H689" s="25"/>
      <c r="I689" s="24"/>
      <c r="J689" s="2"/>
      <c r="K689" s="2"/>
      <c r="L689" s="2"/>
      <c r="N689" s="24"/>
      <c r="O689" s="2"/>
      <c r="P689" s="2"/>
    </row>
    <row r="690" spans="2:16" ht="15.75" customHeight="1" x14ac:dyDescent="0.25">
      <c r="B690" s="2"/>
      <c r="C690" s="2"/>
      <c r="H690" s="25"/>
      <c r="I690" s="24"/>
      <c r="J690" s="2"/>
      <c r="K690" s="2"/>
      <c r="L690" s="2"/>
      <c r="N690" s="24"/>
      <c r="O690" s="2"/>
      <c r="P690" s="2"/>
    </row>
    <row r="691" spans="2:16" ht="15.75" customHeight="1" x14ac:dyDescent="0.25">
      <c r="B691" s="2"/>
      <c r="C691" s="2"/>
      <c r="H691" s="25"/>
      <c r="I691" s="24"/>
      <c r="J691" s="2"/>
      <c r="K691" s="2"/>
      <c r="L691" s="2"/>
      <c r="N691" s="24"/>
      <c r="O691" s="2"/>
      <c r="P691" s="2"/>
    </row>
    <row r="692" spans="2:16" ht="15.75" customHeight="1" x14ac:dyDescent="0.25">
      <c r="B692" s="2"/>
      <c r="C692" s="2"/>
      <c r="H692" s="25"/>
      <c r="I692" s="24"/>
      <c r="J692" s="2"/>
      <c r="K692" s="2"/>
      <c r="L692" s="2"/>
      <c r="N692" s="24"/>
      <c r="O692" s="2"/>
      <c r="P692" s="2"/>
    </row>
    <row r="693" spans="2:16" ht="15.75" customHeight="1" x14ac:dyDescent="0.25">
      <c r="B693" s="2"/>
      <c r="C693" s="2"/>
      <c r="H693" s="25"/>
      <c r="I693" s="24"/>
      <c r="J693" s="2"/>
      <c r="K693" s="2"/>
      <c r="L693" s="2"/>
      <c r="N693" s="24"/>
      <c r="O693" s="2"/>
      <c r="P693" s="2"/>
    </row>
    <row r="694" spans="2:16" ht="15.75" customHeight="1" x14ac:dyDescent="0.25">
      <c r="B694" s="2"/>
      <c r="C694" s="2"/>
      <c r="H694" s="25"/>
      <c r="I694" s="24"/>
      <c r="J694" s="2"/>
      <c r="K694" s="2"/>
      <c r="L694" s="2"/>
      <c r="N694" s="24"/>
      <c r="O694" s="2"/>
      <c r="P694" s="2"/>
    </row>
    <row r="695" spans="2:16" ht="15.75" customHeight="1" x14ac:dyDescent="0.25">
      <c r="B695" s="2"/>
      <c r="C695" s="2"/>
      <c r="H695" s="25"/>
      <c r="I695" s="24"/>
      <c r="J695" s="2"/>
      <c r="K695" s="2"/>
      <c r="L695" s="2"/>
      <c r="N695" s="24"/>
      <c r="O695" s="2"/>
      <c r="P695" s="2"/>
    </row>
    <row r="696" spans="2:16" ht="15.75" customHeight="1" x14ac:dyDescent="0.25">
      <c r="B696" s="2"/>
      <c r="C696" s="2"/>
      <c r="H696" s="25"/>
      <c r="I696" s="24"/>
      <c r="J696" s="2"/>
      <c r="K696" s="2"/>
      <c r="L696" s="2"/>
      <c r="N696" s="24"/>
      <c r="O696" s="2"/>
      <c r="P696" s="2"/>
    </row>
    <row r="697" spans="2:16" ht="15.75" customHeight="1" x14ac:dyDescent="0.25">
      <c r="B697" s="2"/>
      <c r="C697" s="2"/>
      <c r="H697" s="25"/>
      <c r="I697" s="24"/>
      <c r="J697" s="2"/>
      <c r="K697" s="2"/>
      <c r="L697" s="2"/>
      <c r="N697" s="24"/>
      <c r="O697" s="2"/>
      <c r="P697" s="2"/>
    </row>
    <row r="698" spans="2:16" ht="15.75" customHeight="1" x14ac:dyDescent="0.25">
      <c r="B698" s="2"/>
      <c r="C698" s="2"/>
      <c r="H698" s="25"/>
      <c r="I698" s="24"/>
      <c r="J698" s="2"/>
      <c r="K698" s="2"/>
      <c r="L698" s="2"/>
      <c r="N698" s="24"/>
      <c r="O698" s="2"/>
      <c r="P698" s="2"/>
    </row>
    <row r="699" spans="2:16" ht="15.75" customHeight="1" x14ac:dyDescent="0.25">
      <c r="B699" s="2"/>
      <c r="C699" s="2"/>
      <c r="H699" s="25"/>
      <c r="I699" s="24"/>
      <c r="J699" s="2"/>
      <c r="K699" s="2"/>
      <c r="L699" s="2"/>
      <c r="N699" s="24"/>
      <c r="O699" s="2"/>
      <c r="P699" s="2"/>
    </row>
    <row r="700" spans="2:16" ht="15.75" customHeight="1" x14ac:dyDescent="0.25">
      <c r="B700" s="2"/>
      <c r="C700" s="2"/>
      <c r="H700" s="25"/>
      <c r="I700" s="24"/>
      <c r="J700" s="2"/>
      <c r="K700" s="2"/>
      <c r="L700" s="2"/>
      <c r="N700" s="24"/>
      <c r="O700" s="2"/>
      <c r="P700" s="2"/>
    </row>
    <row r="701" spans="2:16" ht="15.75" customHeight="1" x14ac:dyDescent="0.25">
      <c r="B701" s="2"/>
      <c r="C701" s="2"/>
      <c r="H701" s="25"/>
      <c r="I701" s="24"/>
      <c r="J701" s="2"/>
      <c r="K701" s="2"/>
      <c r="L701" s="2"/>
      <c r="N701" s="24"/>
      <c r="O701" s="2"/>
      <c r="P701" s="2"/>
    </row>
    <row r="702" spans="2:16" ht="15.75" customHeight="1" x14ac:dyDescent="0.25">
      <c r="B702" s="2"/>
      <c r="C702" s="2"/>
      <c r="H702" s="25"/>
      <c r="I702" s="24"/>
      <c r="J702" s="2"/>
      <c r="K702" s="2"/>
      <c r="L702" s="2"/>
      <c r="N702" s="24"/>
      <c r="O702" s="2"/>
      <c r="P702" s="2"/>
    </row>
    <row r="703" spans="2:16" ht="15.75" customHeight="1" x14ac:dyDescent="0.25">
      <c r="B703" s="2"/>
      <c r="C703" s="2"/>
      <c r="H703" s="25"/>
      <c r="I703" s="24"/>
      <c r="J703" s="2"/>
      <c r="K703" s="2"/>
      <c r="L703" s="2"/>
      <c r="N703" s="24"/>
      <c r="O703" s="2"/>
      <c r="P703" s="2"/>
    </row>
    <row r="704" spans="2:16" ht="15.75" customHeight="1" x14ac:dyDescent="0.25">
      <c r="B704" s="2"/>
      <c r="C704" s="2"/>
      <c r="H704" s="25"/>
      <c r="I704" s="24"/>
      <c r="J704" s="2"/>
      <c r="K704" s="2"/>
      <c r="L704" s="2"/>
      <c r="N704" s="24"/>
      <c r="O704" s="2"/>
      <c r="P704" s="2"/>
    </row>
    <row r="705" spans="2:16" ht="15.75" customHeight="1" x14ac:dyDescent="0.25">
      <c r="B705" s="2"/>
      <c r="C705" s="2"/>
      <c r="H705" s="25"/>
      <c r="I705" s="24"/>
      <c r="J705" s="2"/>
      <c r="K705" s="2"/>
      <c r="L705" s="2"/>
      <c r="N705" s="24"/>
      <c r="O705" s="2"/>
      <c r="P705" s="2"/>
    </row>
    <row r="706" spans="2:16" ht="15.75" customHeight="1" x14ac:dyDescent="0.25">
      <c r="B706" s="2"/>
      <c r="C706" s="2"/>
      <c r="H706" s="25"/>
      <c r="I706" s="24"/>
      <c r="J706" s="2"/>
      <c r="K706" s="2"/>
      <c r="L706" s="2"/>
      <c r="N706" s="24"/>
      <c r="O706" s="2"/>
      <c r="P706" s="2"/>
    </row>
    <row r="707" spans="2:16" ht="15.75" customHeight="1" x14ac:dyDescent="0.25">
      <c r="B707" s="2"/>
      <c r="C707" s="2"/>
      <c r="H707" s="25"/>
      <c r="I707" s="24"/>
      <c r="J707" s="2"/>
      <c r="K707" s="2"/>
      <c r="L707" s="2"/>
      <c r="N707" s="24"/>
      <c r="O707" s="2"/>
      <c r="P707" s="2"/>
    </row>
    <row r="708" spans="2:16" ht="15.75" customHeight="1" x14ac:dyDescent="0.25">
      <c r="B708" s="2"/>
      <c r="C708" s="2"/>
      <c r="H708" s="25"/>
      <c r="I708" s="24"/>
      <c r="J708" s="2"/>
      <c r="K708" s="2"/>
      <c r="L708" s="2"/>
      <c r="N708" s="24"/>
      <c r="O708" s="2"/>
      <c r="P708" s="2"/>
    </row>
    <row r="709" spans="2:16" ht="15.75" customHeight="1" x14ac:dyDescent="0.25">
      <c r="B709" s="2"/>
      <c r="C709" s="2"/>
      <c r="H709" s="25"/>
      <c r="I709" s="24"/>
      <c r="J709" s="2"/>
      <c r="K709" s="2"/>
      <c r="L709" s="2"/>
      <c r="N709" s="24"/>
      <c r="O709" s="2"/>
      <c r="P709" s="2"/>
    </row>
    <row r="710" spans="2:16" ht="15.75" customHeight="1" x14ac:dyDescent="0.25">
      <c r="B710" s="2"/>
      <c r="C710" s="2"/>
      <c r="H710" s="25"/>
      <c r="I710" s="24"/>
      <c r="J710" s="2"/>
      <c r="K710" s="2"/>
      <c r="L710" s="2"/>
      <c r="N710" s="24"/>
      <c r="O710" s="2"/>
      <c r="P710" s="2"/>
    </row>
    <row r="711" spans="2:16" ht="15.75" customHeight="1" x14ac:dyDescent="0.25">
      <c r="B711" s="2"/>
      <c r="C711" s="2"/>
      <c r="H711" s="25"/>
      <c r="I711" s="24"/>
      <c r="J711" s="2"/>
      <c r="K711" s="2"/>
      <c r="L711" s="2"/>
      <c r="N711" s="24"/>
      <c r="O711" s="2"/>
      <c r="P711" s="2"/>
    </row>
    <row r="712" spans="2:16" ht="15.75" customHeight="1" x14ac:dyDescent="0.25">
      <c r="B712" s="2"/>
      <c r="C712" s="2"/>
      <c r="H712" s="25"/>
      <c r="I712" s="24"/>
      <c r="J712" s="2"/>
      <c r="K712" s="2"/>
      <c r="L712" s="2"/>
      <c r="N712" s="24"/>
      <c r="O712" s="2"/>
      <c r="P712" s="2"/>
    </row>
    <row r="713" spans="2:16" ht="15.75" customHeight="1" x14ac:dyDescent="0.25">
      <c r="B713" s="2"/>
      <c r="C713" s="2"/>
      <c r="H713" s="25"/>
      <c r="I713" s="24"/>
      <c r="J713" s="2"/>
      <c r="K713" s="2"/>
      <c r="L713" s="2"/>
      <c r="N713" s="24"/>
      <c r="O713" s="2"/>
      <c r="P713" s="2"/>
    </row>
    <row r="714" spans="2:16" ht="15.75" customHeight="1" x14ac:dyDescent="0.25">
      <c r="B714" s="2"/>
      <c r="C714" s="2"/>
      <c r="H714" s="25"/>
      <c r="I714" s="24"/>
      <c r="J714" s="2"/>
      <c r="K714" s="2"/>
      <c r="L714" s="2"/>
      <c r="N714" s="24"/>
      <c r="O714" s="2"/>
      <c r="P714" s="2"/>
    </row>
    <row r="715" spans="2:16" ht="15.75" customHeight="1" x14ac:dyDescent="0.25">
      <c r="B715" s="2"/>
      <c r="C715" s="2"/>
      <c r="H715" s="25"/>
      <c r="I715" s="24"/>
      <c r="J715" s="2"/>
      <c r="K715" s="2"/>
      <c r="L715" s="2"/>
      <c r="N715" s="24"/>
      <c r="O715" s="2"/>
      <c r="P715" s="2"/>
    </row>
    <row r="716" spans="2:16" ht="15.75" customHeight="1" x14ac:dyDescent="0.25">
      <c r="B716" s="2"/>
      <c r="C716" s="2"/>
      <c r="H716" s="25"/>
      <c r="I716" s="24"/>
      <c r="J716" s="2"/>
      <c r="K716" s="2"/>
      <c r="L716" s="2"/>
      <c r="N716" s="24"/>
      <c r="O716" s="2"/>
      <c r="P716" s="2"/>
    </row>
    <row r="717" spans="2:16" ht="15.75" customHeight="1" x14ac:dyDescent="0.25">
      <c r="B717" s="2"/>
      <c r="C717" s="2"/>
      <c r="H717" s="25"/>
      <c r="I717" s="24"/>
      <c r="J717" s="2"/>
      <c r="K717" s="2"/>
      <c r="L717" s="2"/>
      <c r="N717" s="24"/>
      <c r="O717" s="2"/>
      <c r="P717" s="2"/>
    </row>
    <row r="718" spans="2:16" ht="15.75" customHeight="1" x14ac:dyDescent="0.25">
      <c r="B718" s="2"/>
      <c r="C718" s="2"/>
      <c r="H718" s="25"/>
      <c r="I718" s="24"/>
      <c r="J718" s="2"/>
      <c r="K718" s="2"/>
      <c r="L718" s="2"/>
      <c r="N718" s="24"/>
      <c r="O718" s="2"/>
      <c r="P718" s="2"/>
    </row>
    <row r="719" spans="2:16" ht="15.75" customHeight="1" x14ac:dyDescent="0.25">
      <c r="B719" s="2"/>
      <c r="C719" s="2"/>
      <c r="H719" s="25"/>
      <c r="I719" s="24"/>
      <c r="J719" s="2"/>
      <c r="K719" s="2"/>
      <c r="L719" s="2"/>
      <c r="N719" s="24"/>
      <c r="O719" s="2"/>
      <c r="P719" s="2"/>
    </row>
    <row r="720" spans="2:16" ht="15.75" customHeight="1" x14ac:dyDescent="0.25">
      <c r="B720" s="2"/>
      <c r="C720" s="2"/>
      <c r="H720" s="25"/>
      <c r="I720" s="24"/>
      <c r="J720" s="2"/>
      <c r="K720" s="2"/>
      <c r="L720" s="2"/>
      <c r="N720" s="24"/>
      <c r="O720" s="2"/>
      <c r="P720" s="2"/>
    </row>
    <row r="721" spans="2:16" ht="15.75" customHeight="1" x14ac:dyDescent="0.25">
      <c r="B721" s="2"/>
      <c r="C721" s="2"/>
      <c r="H721" s="25"/>
      <c r="I721" s="24"/>
      <c r="J721" s="2"/>
      <c r="K721" s="2"/>
      <c r="L721" s="2"/>
      <c r="N721" s="24"/>
      <c r="O721" s="2"/>
      <c r="P721" s="2"/>
    </row>
    <row r="722" spans="2:16" ht="15.75" customHeight="1" x14ac:dyDescent="0.25">
      <c r="B722" s="2"/>
      <c r="C722" s="2"/>
      <c r="H722" s="25"/>
      <c r="I722" s="24"/>
      <c r="J722" s="2"/>
      <c r="K722" s="2"/>
      <c r="L722" s="2"/>
      <c r="N722" s="24"/>
      <c r="O722" s="2"/>
      <c r="P722" s="2"/>
    </row>
    <row r="723" spans="2:16" ht="15.75" customHeight="1" x14ac:dyDescent="0.25">
      <c r="B723" s="2"/>
      <c r="C723" s="2"/>
      <c r="H723" s="25"/>
      <c r="I723" s="24"/>
      <c r="J723" s="2"/>
      <c r="K723" s="2"/>
      <c r="L723" s="2"/>
      <c r="N723" s="24"/>
      <c r="O723" s="2"/>
      <c r="P723" s="2"/>
    </row>
    <row r="724" spans="2:16" ht="15.75" customHeight="1" x14ac:dyDescent="0.25">
      <c r="B724" s="2"/>
      <c r="C724" s="2"/>
      <c r="H724" s="25"/>
      <c r="I724" s="24"/>
      <c r="J724" s="2"/>
      <c r="K724" s="2"/>
      <c r="L724" s="2"/>
      <c r="N724" s="24"/>
      <c r="O724" s="2"/>
      <c r="P724" s="2"/>
    </row>
    <row r="725" spans="2:16" ht="15.75" customHeight="1" x14ac:dyDescent="0.25">
      <c r="B725" s="2"/>
      <c r="C725" s="2"/>
      <c r="H725" s="25"/>
      <c r="I725" s="24"/>
      <c r="J725" s="2"/>
      <c r="K725" s="2"/>
      <c r="L725" s="2"/>
      <c r="N725" s="24"/>
      <c r="O725" s="2"/>
      <c r="P725" s="2"/>
    </row>
    <row r="726" spans="2:16" ht="15.75" customHeight="1" x14ac:dyDescent="0.25">
      <c r="B726" s="2"/>
      <c r="C726" s="2"/>
      <c r="H726" s="25"/>
      <c r="I726" s="24"/>
      <c r="J726" s="2"/>
      <c r="K726" s="2"/>
      <c r="L726" s="2"/>
      <c r="N726" s="24"/>
      <c r="O726" s="2"/>
      <c r="P726" s="2"/>
    </row>
    <row r="727" spans="2:16" ht="15.75" customHeight="1" x14ac:dyDescent="0.25">
      <c r="B727" s="2"/>
      <c r="C727" s="2"/>
      <c r="H727" s="25"/>
      <c r="I727" s="24"/>
      <c r="J727" s="2"/>
      <c r="K727" s="2"/>
      <c r="L727" s="2"/>
      <c r="N727" s="24"/>
      <c r="O727" s="2"/>
      <c r="P727" s="2"/>
    </row>
    <row r="728" spans="2:16" ht="15.75" customHeight="1" x14ac:dyDescent="0.25">
      <c r="B728" s="2"/>
      <c r="C728" s="2"/>
      <c r="H728" s="25"/>
      <c r="I728" s="24"/>
      <c r="J728" s="2"/>
      <c r="K728" s="2"/>
      <c r="L728" s="2"/>
      <c r="N728" s="24"/>
      <c r="O728" s="2"/>
      <c r="P728" s="2"/>
    </row>
    <row r="729" spans="2:16" ht="15.75" customHeight="1" x14ac:dyDescent="0.25">
      <c r="B729" s="2"/>
      <c r="C729" s="2"/>
      <c r="H729" s="25"/>
      <c r="I729" s="24"/>
      <c r="J729" s="2"/>
      <c r="K729" s="2"/>
      <c r="L729" s="2"/>
      <c r="N729" s="24"/>
      <c r="O729" s="2"/>
      <c r="P729" s="2"/>
    </row>
    <row r="730" spans="2:16" ht="15.75" customHeight="1" x14ac:dyDescent="0.25">
      <c r="B730" s="2"/>
      <c r="C730" s="2"/>
      <c r="H730" s="25"/>
      <c r="I730" s="24"/>
      <c r="J730" s="2"/>
      <c r="K730" s="2"/>
      <c r="L730" s="2"/>
      <c r="N730" s="24"/>
      <c r="O730" s="2"/>
      <c r="P730" s="2"/>
    </row>
    <row r="731" spans="2:16" ht="15.75" customHeight="1" x14ac:dyDescent="0.25">
      <c r="B731" s="2"/>
      <c r="C731" s="2"/>
      <c r="H731" s="25"/>
      <c r="I731" s="24"/>
      <c r="J731" s="2"/>
      <c r="K731" s="2"/>
      <c r="L731" s="2"/>
      <c r="N731" s="24"/>
      <c r="O731" s="2"/>
      <c r="P731" s="2"/>
    </row>
    <row r="732" spans="2:16" ht="15.75" customHeight="1" x14ac:dyDescent="0.25">
      <c r="B732" s="2"/>
      <c r="C732" s="2"/>
      <c r="H732" s="25"/>
      <c r="I732" s="24"/>
      <c r="J732" s="2"/>
      <c r="K732" s="2"/>
      <c r="L732" s="2"/>
      <c r="N732" s="24"/>
      <c r="O732" s="2"/>
      <c r="P732" s="2"/>
    </row>
    <row r="733" spans="2:16" ht="15.75" customHeight="1" x14ac:dyDescent="0.25">
      <c r="B733" s="2"/>
      <c r="C733" s="2"/>
      <c r="H733" s="25"/>
      <c r="I733" s="24"/>
      <c r="J733" s="2"/>
      <c r="K733" s="2"/>
      <c r="L733" s="2"/>
      <c r="N733" s="24"/>
      <c r="O733" s="2"/>
      <c r="P733" s="2"/>
    </row>
    <row r="734" spans="2:16" ht="15.75" customHeight="1" x14ac:dyDescent="0.25">
      <c r="B734" s="2"/>
      <c r="C734" s="2"/>
      <c r="H734" s="25"/>
      <c r="I734" s="24"/>
      <c r="J734" s="2"/>
      <c r="K734" s="2"/>
      <c r="L734" s="2"/>
      <c r="N734" s="24"/>
      <c r="O734" s="2"/>
      <c r="P734" s="2"/>
    </row>
    <row r="735" spans="2:16" ht="15.75" customHeight="1" x14ac:dyDescent="0.25">
      <c r="B735" s="2"/>
      <c r="C735" s="2"/>
      <c r="H735" s="25"/>
      <c r="I735" s="24"/>
      <c r="J735" s="2"/>
      <c r="K735" s="2"/>
      <c r="L735" s="2"/>
      <c r="N735" s="24"/>
      <c r="O735" s="2"/>
      <c r="P735" s="2"/>
    </row>
    <row r="736" spans="2:16" ht="15.75" customHeight="1" x14ac:dyDescent="0.25">
      <c r="B736" s="2"/>
      <c r="C736" s="2"/>
      <c r="H736" s="25"/>
      <c r="I736" s="24"/>
      <c r="J736" s="2"/>
      <c r="K736" s="2"/>
      <c r="L736" s="2"/>
      <c r="N736" s="24"/>
      <c r="O736" s="2"/>
      <c r="P736" s="2"/>
    </row>
    <row r="737" spans="2:16" ht="15.75" customHeight="1" x14ac:dyDescent="0.25">
      <c r="B737" s="2"/>
      <c r="C737" s="2"/>
      <c r="H737" s="25"/>
      <c r="I737" s="24"/>
      <c r="J737" s="2"/>
      <c r="K737" s="2"/>
      <c r="L737" s="2"/>
      <c r="N737" s="24"/>
      <c r="O737" s="2"/>
      <c r="P737" s="2"/>
    </row>
    <row r="738" spans="2:16" ht="15.75" customHeight="1" x14ac:dyDescent="0.25">
      <c r="B738" s="2"/>
      <c r="C738" s="2"/>
      <c r="H738" s="25"/>
      <c r="I738" s="24"/>
      <c r="J738" s="2"/>
      <c r="K738" s="2"/>
      <c r="L738" s="2"/>
      <c r="N738" s="24"/>
      <c r="O738" s="2"/>
      <c r="P738" s="2"/>
    </row>
    <row r="739" spans="2:16" ht="15.75" customHeight="1" x14ac:dyDescent="0.25">
      <c r="B739" s="2"/>
      <c r="C739" s="2"/>
      <c r="H739" s="25"/>
      <c r="I739" s="24"/>
      <c r="J739" s="2"/>
      <c r="K739" s="2"/>
      <c r="L739" s="2"/>
      <c r="N739" s="24"/>
      <c r="O739" s="2"/>
      <c r="P739" s="2"/>
    </row>
    <row r="740" spans="2:16" ht="15.75" customHeight="1" x14ac:dyDescent="0.25">
      <c r="B740" s="2"/>
      <c r="C740" s="2"/>
      <c r="H740" s="25"/>
      <c r="I740" s="24"/>
      <c r="J740" s="2"/>
      <c r="K740" s="2"/>
      <c r="L740" s="2"/>
      <c r="N740" s="24"/>
      <c r="O740" s="2"/>
      <c r="P740" s="2"/>
    </row>
    <row r="741" spans="2:16" ht="15.75" customHeight="1" x14ac:dyDescent="0.25">
      <c r="B741" s="2"/>
      <c r="C741" s="2"/>
      <c r="H741" s="25"/>
      <c r="I741" s="24"/>
      <c r="J741" s="2"/>
      <c r="K741" s="2"/>
      <c r="L741" s="2"/>
      <c r="N741" s="24"/>
      <c r="O741" s="2"/>
      <c r="P741" s="2"/>
    </row>
    <row r="742" spans="2:16" ht="15.75" customHeight="1" x14ac:dyDescent="0.25">
      <c r="B742" s="2"/>
      <c r="C742" s="2"/>
      <c r="H742" s="25"/>
      <c r="I742" s="24"/>
      <c r="J742" s="2"/>
      <c r="K742" s="2"/>
      <c r="L742" s="2"/>
      <c r="N742" s="24"/>
      <c r="O742" s="2"/>
      <c r="P742" s="2"/>
    </row>
    <row r="743" spans="2:16" ht="15.75" customHeight="1" x14ac:dyDescent="0.25">
      <c r="B743" s="2"/>
      <c r="C743" s="2"/>
      <c r="H743" s="25"/>
      <c r="I743" s="24"/>
      <c r="J743" s="2"/>
      <c r="K743" s="2"/>
      <c r="L743" s="2"/>
      <c r="N743" s="24"/>
      <c r="O743" s="2"/>
      <c r="P743" s="2"/>
    </row>
    <row r="744" spans="2:16" ht="15.75" customHeight="1" x14ac:dyDescent="0.25">
      <c r="B744" s="2"/>
      <c r="C744" s="2"/>
      <c r="H744" s="25"/>
      <c r="I744" s="24"/>
      <c r="J744" s="2"/>
      <c r="K744" s="2"/>
      <c r="L744" s="2"/>
      <c r="N744" s="24"/>
      <c r="O744" s="2"/>
      <c r="P744" s="2"/>
    </row>
    <row r="745" spans="2:16" ht="15.75" customHeight="1" x14ac:dyDescent="0.25">
      <c r="B745" s="2"/>
      <c r="C745" s="2"/>
      <c r="H745" s="25"/>
      <c r="I745" s="24"/>
      <c r="J745" s="2"/>
      <c r="K745" s="2"/>
      <c r="L745" s="2"/>
      <c r="N745" s="24"/>
      <c r="O745" s="2"/>
      <c r="P745" s="2"/>
    </row>
    <row r="746" spans="2:16" ht="15.75" customHeight="1" x14ac:dyDescent="0.25">
      <c r="B746" s="2"/>
      <c r="C746" s="2"/>
      <c r="H746" s="25"/>
      <c r="I746" s="24"/>
      <c r="J746" s="2"/>
      <c r="K746" s="2"/>
      <c r="L746" s="2"/>
      <c r="N746" s="24"/>
      <c r="O746" s="2"/>
      <c r="P746" s="2"/>
    </row>
    <row r="747" spans="2:16" ht="15.75" customHeight="1" x14ac:dyDescent="0.25">
      <c r="B747" s="2"/>
      <c r="C747" s="2"/>
      <c r="H747" s="25"/>
      <c r="I747" s="24"/>
      <c r="J747" s="2"/>
      <c r="K747" s="2"/>
      <c r="L747" s="2"/>
      <c r="N747" s="24"/>
      <c r="O747" s="2"/>
      <c r="P747" s="2"/>
    </row>
    <row r="748" spans="2:16" ht="15.75" customHeight="1" x14ac:dyDescent="0.25">
      <c r="B748" s="2"/>
      <c r="C748" s="2"/>
      <c r="H748" s="25"/>
      <c r="I748" s="24"/>
      <c r="J748" s="2"/>
      <c r="K748" s="2"/>
      <c r="L748" s="2"/>
      <c r="N748" s="24"/>
      <c r="O748" s="2"/>
      <c r="P748" s="2"/>
    </row>
    <row r="749" spans="2:16" ht="15.75" customHeight="1" x14ac:dyDescent="0.25">
      <c r="B749" s="2"/>
      <c r="C749" s="2"/>
      <c r="H749" s="25"/>
      <c r="I749" s="24"/>
      <c r="J749" s="2"/>
      <c r="K749" s="2"/>
      <c r="L749" s="2"/>
      <c r="N749" s="24"/>
      <c r="O749" s="2"/>
      <c r="P749" s="2"/>
    </row>
    <row r="750" spans="2:16" ht="15.75" customHeight="1" x14ac:dyDescent="0.25">
      <c r="B750" s="2"/>
      <c r="C750" s="2"/>
      <c r="H750" s="25"/>
      <c r="I750" s="24"/>
      <c r="J750" s="2"/>
      <c r="K750" s="2"/>
      <c r="L750" s="2"/>
      <c r="N750" s="24"/>
      <c r="O750" s="2"/>
      <c r="P750" s="2"/>
    </row>
    <row r="751" spans="2:16" ht="15.75" customHeight="1" x14ac:dyDescent="0.25">
      <c r="B751" s="2"/>
      <c r="C751" s="2"/>
      <c r="H751" s="25"/>
      <c r="I751" s="24"/>
      <c r="J751" s="2"/>
      <c r="K751" s="2"/>
      <c r="L751" s="2"/>
      <c r="N751" s="24"/>
      <c r="O751" s="2"/>
      <c r="P751" s="2"/>
    </row>
    <row r="752" spans="2:16" ht="15.75" customHeight="1" x14ac:dyDescent="0.25">
      <c r="B752" s="2"/>
      <c r="C752" s="2"/>
      <c r="H752" s="25"/>
      <c r="I752" s="24"/>
      <c r="J752" s="2"/>
      <c r="K752" s="2"/>
      <c r="L752" s="2"/>
      <c r="N752" s="24"/>
      <c r="O752" s="2"/>
      <c r="P752" s="2"/>
    </row>
    <row r="753" spans="2:16" ht="15.75" customHeight="1" x14ac:dyDescent="0.25">
      <c r="B753" s="2"/>
      <c r="C753" s="2"/>
      <c r="H753" s="25"/>
      <c r="I753" s="24"/>
      <c r="J753" s="2"/>
      <c r="K753" s="2"/>
      <c r="L753" s="2"/>
      <c r="N753" s="24"/>
      <c r="O753" s="2"/>
      <c r="P753" s="2"/>
    </row>
    <row r="754" spans="2:16" ht="15.75" customHeight="1" x14ac:dyDescent="0.25">
      <c r="B754" s="2"/>
      <c r="C754" s="2"/>
      <c r="H754" s="25"/>
      <c r="I754" s="24"/>
      <c r="J754" s="2"/>
      <c r="K754" s="2"/>
      <c r="L754" s="2"/>
      <c r="N754" s="24"/>
      <c r="O754" s="2"/>
      <c r="P754" s="2"/>
    </row>
    <row r="755" spans="2:16" ht="15.75" customHeight="1" x14ac:dyDescent="0.25">
      <c r="B755" s="2"/>
      <c r="C755" s="2"/>
      <c r="H755" s="25"/>
      <c r="I755" s="24"/>
      <c r="J755" s="2"/>
      <c r="K755" s="2"/>
      <c r="L755" s="2"/>
      <c r="N755" s="24"/>
      <c r="O755" s="2"/>
      <c r="P755" s="2"/>
    </row>
    <row r="756" spans="2:16" ht="15.75" customHeight="1" x14ac:dyDescent="0.25">
      <c r="B756" s="2"/>
      <c r="C756" s="2"/>
      <c r="H756" s="25"/>
      <c r="I756" s="24"/>
      <c r="J756" s="2"/>
      <c r="K756" s="2"/>
      <c r="L756" s="2"/>
      <c r="N756" s="24"/>
      <c r="O756" s="2"/>
      <c r="P756" s="2"/>
    </row>
    <row r="757" spans="2:16" ht="15.75" customHeight="1" x14ac:dyDescent="0.25">
      <c r="B757" s="2"/>
      <c r="C757" s="2"/>
      <c r="H757" s="25"/>
      <c r="I757" s="24"/>
      <c r="J757" s="2"/>
      <c r="K757" s="2"/>
      <c r="L757" s="2"/>
      <c r="N757" s="24"/>
      <c r="O757" s="2"/>
      <c r="P757" s="2"/>
    </row>
    <row r="758" spans="2:16" ht="15.75" customHeight="1" x14ac:dyDescent="0.25">
      <c r="B758" s="2"/>
      <c r="C758" s="2"/>
      <c r="H758" s="25"/>
      <c r="I758" s="24"/>
      <c r="J758" s="2"/>
      <c r="K758" s="2"/>
      <c r="L758" s="2"/>
      <c r="N758" s="24"/>
      <c r="O758" s="2"/>
      <c r="P758" s="2"/>
    </row>
    <row r="759" spans="2:16" ht="15.75" customHeight="1" x14ac:dyDescent="0.25">
      <c r="B759" s="2"/>
      <c r="C759" s="2"/>
      <c r="H759" s="25"/>
      <c r="I759" s="24"/>
      <c r="J759" s="2"/>
      <c r="K759" s="2"/>
      <c r="L759" s="2"/>
      <c r="N759" s="24"/>
      <c r="O759" s="2"/>
      <c r="P759" s="2"/>
    </row>
    <row r="760" spans="2:16" ht="15.75" customHeight="1" x14ac:dyDescent="0.25">
      <c r="B760" s="2"/>
      <c r="C760" s="2"/>
      <c r="H760" s="25"/>
      <c r="I760" s="24"/>
      <c r="J760" s="2"/>
      <c r="K760" s="2"/>
      <c r="L760" s="2"/>
      <c r="N760" s="24"/>
      <c r="O760" s="2"/>
      <c r="P760" s="2"/>
    </row>
    <row r="761" spans="2:16" ht="15.75" customHeight="1" x14ac:dyDescent="0.25">
      <c r="B761" s="2"/>
      <c r="C761" s="2"/>
      <c r="H761" s="25"/>
      <c r="I761" s="24"/>
      <c r="J761" s="2"/>
      <c r="K761" s="2"/>
      <c r="L761" s="2"/>
      <c r="N761" s="24"/>
      <c r="O761" s="2"/>
      <c r="P761" s="2"/>
    </row>
    <row r="762" spans="2:16" ht="15.75" customHeight="1" x14ac:dyDescent="0.25">
      <c r="B762" s="2"/>
      <c r="C762" s="2"/>
      <c r="H762" s="25"/>
      <c r="I762" s="24"/>
      <c r="J762" s="2"/>
      <c r="K762" s="2"/>
      <c r="L762" s="2"/>
      <c r="N762" s="24"/>
      <c r="O762" s="2"/>
      <c r="P762" s="2"/>
    </row>
    <row r="763" spans="2:16" ht="15.75" customHeight="1" x14ac:dyDescent="0.25">
      <c r="B763" s="2"/>
      <c r="C763" s="2"/>
      <c r="H763" s="25"/>
      <c r="I763" s="24"/>
      <c r="J763" s="2"/>
      <c r="K763" s="2"/>
      <c r="L763" s="2"/>
      <c r="N763" s="24"/>
      <c r="O763" s="2"/>
      <c r="P763" s="2"/>
    </row>
    <row r="764" spans="2:16" ht="15.75" customHeight="1" x14ac:dyDescent="0.25">
      <c r="B764" s="2"/>
      <c r="C764" s="2"/>
      <c r="H764" s="25"/>
      <c r="I764" s="24"/>
      <c r="J764" s="2"/>
      <c r="K764" s="2"/>
      <c r="L764" s="2"/>
      <c r="N764" s="24"/>
      <c r="O764" s="2"/>
      <c r="P764" s="2"/>
    </row>
    <row r="765" spans="2:16" ht="15.75" customHeight="1" x14ac:dyDescent="0.25">
      <c r="B765" s="2"/>
      <c r="C765" s="2"/>
      <c r="H765" s="25"/>
      <c r="I765" s="24"/>
      <c r="J765" s="2"/>
      <c r="K765" s="2"/>
      <c r="L765" s="2"/>
      <c r="N765" s="24"/>
      <c r="O765" s="2"/>
      <c r="P765" s="2"/>
    </row>
    <row r="766" spans="2:16" ht="15.75" customHeight="1" x14ac:dyDescent="0.25">
      <c r="B766" s="2"/>
      <c r="C766" s="2"/>
      <c r="H766" s="25"/>
      <c r="I766" s="24"/>
      <c r="J766" s="2"/>
      <c r="K766" s="2"/>
      <c r="L766" s="2"/>
      <c r="N766" s="24"/>
      <c r="O766" s="2"/>
      <c r="P766" s="2"/>
    </row>
    <row r="767" spans="2:16" ht="15.75" customHeight="1" x14ac:dyDescent="0.25">
      <c r="B767" s="2"/>
      <c r="C767" s="2"/>
      <c r="H767" s="25"/>
      <c r="I767" s="24"/>
      <c r="J767" s="2"/>
      <c r="K767" s="2"/>
      <c r="L767" s="2"/>
      <c r="N767" s="24"/>
      <c r="O767" s="2"/>
      <c r="P767" s="2"/>
    </row>
    <row r="768" spans="2:16" ht="15.75" customHeight="1" x14ac:dyDescent="0.25">
      <c r="B768" s="2"/>
      <c r="C768" s="2"/>
      <c r="H768" s="25"/>
      <c r="I768" s="24"/>
      <c r="J768" s="2"/>
      <c r="K768" s="2"/>
      <c r="L768" s="2"/>
      <c r="N768" s="24"/>
      <c r="O768" s="2"/>
      <c r="P768" s="2"/>
    </row>
    <row r="769" spans="2:16" ht="15.75" customHeight="1" x14ac:dyDescent="0.25">
      <c r="B769" s="2"/>
      <c r="C769" s="2"/>
      <c r="H769" s="25"/>
      <c r="I769" s="24"/>
      <c r="J769" s="2"/>
      <c r="K769" s="2"/>
      <c r="L769" s="2"/>
      <c r="N769" s="24"/>
      <c r="O769" s="2"/>
      <c r="P769" s="2"/>
    </row>
    <row r="770" spans="2:16" ht="15.75" customHeight="1" x14ac:dyDescent="0.25">
      <c r="B770" s="2"/>
      <c r="C770" s="2"/>
      <c r="H770" s="25"/>
      <c r="I770" s="24"/>
      <c r="J770" s="2"/>
      <c r="K770" s="2"/>
      <c r="L770" s="2"/>
      <c r="N770" s="24"/>
      <c r="O770" s="2"/>
      <c r="P770" s="2"/>
    </row>
    <row r="771" spans="2:16" ht="15.75" customHeight="1" x14ac:dyDescent="0.25">
      <c r="B771" s="2"/>
      <c r="C771" s="2"/>
      <c r="H771" s="25"/>
      <c r="I771" s="24"/>
      <c r="J771" s="2"/>
      <c r="K771" s="2"/>
      <c r="L771" s="2"/>
      <c r="N771" s="24"/>
      <c r="O771" s="2"/>
      <c r="P771" s="2"/>
    </row>
    <row r="772" spans="2:16" ht="15.75" customHeight="1" x14ac:dyDescent="0.25">
      <c r="B772" s="2"/>
      <c r="C772" s="2"/>
      <c r="H772" s="25"/>
      <c r="I772" s="24"/>
      <c r="J772" s="2"/>
      <c r="K772" s="2"/>
      <c r="L772" s="2"/>
      <c r="N772" s="24"/>
      <c r="O772" s="2"/>
      <c r="P772" s="2"/>
    </row>
    <row r="773" spans="2:16" ht="15.75" customHeight="1" x14ac:dyDescent="0.25">
      <c r="B773" s="2"/>
      <c r="C773" s="2"/>
      <c r="H773" s="25"/>
      <c r="I773" s="24"/>
      <c r="J773" s="2"/>
      <c r="K773" s="2"/>
      <c r="L773" s="2"/>
      <c r="N773" s="24"/>
      <c r="O773" s="2"/>
      <c r="P773" s="2"/>
    </row>
    <row r="774" spans="2:16" ht="15.75" customHeight="1" x14ac:dyDescent="0.25">
      <c r="B774" s="2"/>
      <c r="C774" s="2"/>
      <c r="H774" s="25"/>
      <c r="I774" s="24"/>
      <c r="J774" s="2"/>
      <c r="K774" s="2"/>
      <c r="L774" s="2"/>
      <c r="N774" s="24"/>
      <c r="O774" s="2"/>
      <c r="P774" s="2"/>
    </row>
    <row r="775" spans="2:16" ht="15.75" customHeight="1" x14ac:dyDescent="0.25">
      <c r="B775" s="2"/>
      <c r="C775" s="2"/>
      <c r="H775" s="25"/>
      <c r="I775" s="24"/>
      <c r="J775" s="2"/>
      <c r="K775" s="2"/>
      <c r="L775" s="2"/>
      <c r="N775" s="24"/>
      <c r="O775" s="2"/>
      <c r="P775" s="2"/>
    </row>
    <row r="776" spans="2:16" ht="15.75" customHeight="1" x14ac:dyDescent="0.25">
      <c r="B776" s="2"/>
      <c r="C776" s="2"/>
      <c r="H776" s="25"/>
      <c r="I776" s="24"/>
      <c r="J776" s="2"/>
      <c r="K776" s="2"/>
      <c r="L776" s="2"/>
      <c r="N776" s="24"/>
      <c r="O776" s="2"/>
      <c r="P776" s="2"/>
    </row>
    <row r="777" spans="2:16" ht="15.75" customHeight="1" x14ac:dyDescent="0.25">
      <c r="B777" s="2"/>
      <c r="C777" s="2"/>
      <c r="H777" s="25"/>
      <c r="I777" s="24"/>
      <c r="J777" s="2"/>
      <c r="K777" s="2"/>
      <c r="L777" s="2"/>
      <c r="N777" s="24"/>
      <c r="O777" s="2"/>
      <c r="P777" s="2"/>
    </row>
    <row r="778" spans="2:16" ht="15.75" customHeight="1" x14ac:dyDescent="0.25">
      <c r="B778" s="2"/>
      <c r="C778" s="2"/>
      <c r="H778" s="25"/>
      <c r="I778" s="24"/>
      <c r="J778" s="2"/>
      <c r="K778" s="2"/>
      <c r="L778" s="2"/>
      <c r="N778" s="24"/>
      <c r="O778" s="2"/>
      <c r="P778" s="2"/>
    </row>
    <row r="779" spans="2:16" ht="15.75" customHeight="1" x14ac:dyDescent="0.25">
      <c r="B779" s="2"/>
      <c r="C779" s="2"/>
      <c r="H779" s="25"/>
      <c r="I779" s="24"/>
      <c r="J779" s="2"/>
      <c r="K779" s="2"/>
      <c r="L779" s="2"/>
      <c r="N779" s="24"/>
      <c r="O779" s="2"/>
      <c r="P779" s="2"/>
    </row>
    <row r="780" spans="2:16" ht="15.75" customHeight="1" x14ac:dyDescent="0.25">
      <c r="B780" s="2"/>
      <c r="C780" s="2"/>
      <c r="H780" s="25"/>
      <c r="I780" s="24"/>
      <c r="J780" s="2"/>
      <c r="K780" s="2"/>
      <c r="L780" s="2"/>
      <c r="N780" s="24"/>
      <c r="O780" s="2"/>
      <c r="P780" s="2"/>
    </row>
    <row r="781" spans="2:16" ht="15.75" customHeight="1" x14ac:dyDescent="0.25">
      <c r="B781" s="2"/>
      <c r="C781" s="2"/>
      <c r="H781" s="25"/>
      <c r="I781" s="24"/>
      <c r="J781" s="2"/>
      <c r="K781" s="2"/>
      <c r="L781" s="2"/>
      <c r="N781" s="24"/>
      <c r="O781" s="2"/>
      <c r="P781" s="2"/>
    </row>
    <row r="782" spans="2:16" ht="15.75" customHeight="1" x14ac:dyDescent="0.25">
      <c r="B782" s="2"/>
      <c r="C782" s="2"/>
      <c r="H782" s="25"/>
      <c r="I782" s="24"/>
      <c r="J782" s="2"/>
      <c r="K782" s="2"/>
      <c r="L782" s="2"/>
      <c r="N782" s="24"/>
      <c r="O782" s="2"/>
      <c r="P782" s="2"/>
    </row>
    <row r="783" spans="2:16" ht="15.75" customHeight="1" x14ac:dyDescent="0.25">
      <c r="B783" s="2"/>
      <c r="C783" s="2"/>
      <c r="H783" s="25"/>
      <c r="I783" s="24"/>
      <c r="J783" s="2"/>
      <c r="K783" s="2"/>
      <c r="L783" s="2"/>
      <c r="N783" s="24"/>
      <c r="O783" s="2"/>
      <c r="P783" s="2"/>
    </row>
    <row r="784" spans="2:16" ht="15.75" customHeight="1" x14ac:dyDescent="0.25">
      <c r="B784" s="2"/>
      <c r="C784" s="2"/>
      <c r="H784" s="25"/>
      <c r="I784" s="24"/>
      <c r="J784" s="2"/>
      <c r="K784" s="2"/>
      <c r="L784" s="2"/>
      <c r="N784" s="24"/>
      <c r="O784" s="2"/>
      <c r="P784" s="2"/>
    </row>
    <row r="785" spans="2:16" ht="15.75" customHeight="1" x14ac:dyDescent="0.25">
      <c r="B785" s="2"/>
      <c r="C785" s="2"/>
      <c r="H785" s="25"/>
      <c r="I785" s="24"/>
      <c r="J785" s="2"/>
      <c r="K785" s="2"/>
      <c r="L785" s="2"/>
      <c r="N785" s="24"/>
      <c r="O785" s="2"/>
      <c r="P785" s="2"/>
    </row>
    <row r="786" spans="2:16" ht="15.75" customHeight="1" x14ac:dyDescent="0.25">
      <c r="B786" s="2"/>
      <c r="C786" s="2"/>
      <c r="H786" s="25"/>
      <c r="I786" s="24"/>
      <c r="J786" s="2"/>
      <c r="K786" s="2"/>
      <c r="L786" s="2"/>
      <c r="N786" s="24"/>
      <c r="O786" s="2"/>
      <c r="P786" s="2"/>
    </row>
    <row r="787" spans="2:16" ht="15.75" customHeight="1" x14ac:dyDescent="0.25">
      <c r="B787" s="2"/>
      <c r="C787" s="2"/>
      <c r="H787" s="25"/>
      <c r="I787" s="24"/>
      <c r="J787" s="2"/>
      <c r="K787" s="2"/>
      <c r="L787" s="2"/>
      <c r="N787" s="24"/>
      <c r="O787" s="2"/>
      <c r="P787" s="2"/>
    </row>
    <row r="788" spans="2:16" ht="15.75" customHeight="1" x14ac:dyDescent="0.25">
      <c r="B788" s="2"/>
      <c r="C788" s="2"/>
      <c r="H788" s="25"/>
      <c r="I788" s="24"/>
      <c r="J788" s="2"/>
      <c r="K788" s="2"/>
      <c r="L788" s="2"/>
      <c r="N788" s="24"/>
      <c r="O788" s="2"/>
      <c r="P788" s="2"/>
    </row>
    <row r="789" spans="2:16" ht="15.75" customHeight="1" x14ac:dyDescent="0.25">
      <c r="B789" s="2"/>
      <c r="C789" s="2"/>
      <c r="H789" s="25"/>
      <c r="I789" s="24"/>
      <c r="J789" s="2"/>
      <c r="K789" s="2"/>
      <c r="L789" s="2"/>
      <c r="N789" s="24"/>
      <c r="O789" s="2"/>
      <c r="P789" s="2"/>
    </row>
    <row r="790" spans="2:16" ht="15.75" customHeight="1" x14ac:dyDescent="0.25">
      <c r="B790" s="2"/>
      <c r="C790" s="2"/>
      <c r="H790" s="25"/>
      <c r="I790" s="24"/>
      <c r="J790" s="2"/>
      <c r="K790" s="2"/>
      <c r="L790" s="2"/>
      <c r="N790" s="24"/>
      <c r="O790" s="2"/>
      <c r="P790" s="2"/>
    </row>
    <row r="791" spans="2:16" ht="15.75" customHeight="1" x14ac:dyDescent="0.25">
      <c r="B791" s="2"/>
      <c r="C791" s="2"/>
      <c r="H791" s="25"/>
      <c r="I791" s="24"/>
      <c r="J791" s="2"/>
      <c r="K791" s="2"/>
      <c r="L791" s="2"/>
      <c r="N791" s="24"/>
      <c r="O791" s="2"/>
      <c r="P791" s="2"/>
    </row>
    <row r="792" spans="2:16" ht="15.75" customHeight="1" x14ac:dyDescent="0.25">
      <c r="B792" s="2"/>
      <c r="C792" s="2"/>
      <c r="H792" s="25"/>
      <c r="I792" s="24"/>
      <c r="J792" s="2"/>
      <c r="K792" s="2"/>
      <c r="L792" s="2"/>
      <c r="N792" s="24"/>
      <c r="O792" s="2"/>
      <c r="P792" s="2"/>
    </row>
    <row r="793" spans="2:16" ht="15.75" customHeight="1" x14ac:dyDescent="0.25">
      <c r="B793" s="2"/>
      <c r="C793" s="2"/>
      <c r="H793" s="25"/>
      <c r="I793" s="24"/>
      <c r="J793" s="2"/>
      <c r="K793" s="2"/>
      <c r="L793" s="2"/>
      <c r="N793" s="24"/>
      <c r="O793" s="2"/>
      <c r="P793" s="2"/>
    </row>
    <row r="794" spans="2:16" ht="15.75" customHeight="1" x14ac:dyDescent="0.25">
      <c r="B794" s="2"/>
      <c r="C794" s="2"/>
      <c r="H794" s="25"/>
      <c r="I794" s="24"/>
      <c r="J794" s="2"/>
      <c r="K794" s="2"/>
      <c r="L794" s="2"/>
      <c r="N794" s="24"/>
      <c r="O794" s="2"/>
      <c r="P794" s="2"/>
    </row>
    <row r="795" spans="2:16" ht="15.75" customHeight="1" x14ac:dyDescent="0.25">
      <c r="B795" s="2"/>
      <c r="C795" s="2"/>
      <c r="H795" s="25"/>
      <c r="I795" s="24"/>
      <c r="J795" s="2"/>
      <c r="K795" s="2"/>
      <c r="L795" s="2"/>
      <c r="N795" s="24"/>
      <c r="O795" s="2"/>
      <c r="P795" s="2"/>
    </row>
    <row r="796" spans="2:16" ht="15.75" customHeight="1" x14ac:dyDescent="0.25">
      <c r="B796" s="2"/>
      <c r="C796" s="2"/>
      <c r="H796" s="25"/>
      <c r="I796" s="24"/>
      <c r="J796" s="2"/>
      <c r="K796" s="2"/>
      <c r="L796" s="2"/>
      <c r="N796" s="24"/>
      <c r="O796" s="2"/>
      <c r="P796" s="2"/>
    </row>
    <row r="797" spans="2:16" ht="15.75" customHeight="1" x14ac:dyDescent="0.25">
      <c r="B797" s="2"/>
      <c r="C797" s="2"/>
      <c r="H797" s="25"/>
      <c r="I797" s="24"/>
      <c r="J797" s="2"/>
      <c r="K797" s="2"/>
      <c r="L797" s="2"/>
      <c r="N797" s="24"/>
      <c r="O797" s="2"/>
      <c r="P797" s="2"/>
    </row>
    <row r="798" spans="2:16" ht="15.75" customHeight="1" x14ac:dyDescent="0.25">
      <c r="B798" s="2"/>
      <c r="C798" s="2"/>
      <c r="H798" s="25"/>
      <c r="I798" s="24"/>
      <c r="J798" s="2"/>
      <c r="K798" s="2"/>
      <c r="L798" s="2"/>
      <c r="N798" s="24"/>
      <c r="O798" s="2"/>
      <c r="P798" s="2"/>
    </row>
    <row r="799" spans="2:16" ht="15.75" customHeight="1" x14ac:dyDescent="0.25">
      <c r="B799" s="2"/>
      <c r="C799" s="2"/>
      <c r="H799" s="25"/>
      <c r="I799" s="24"/>
      <c r="J799" s="2"/>
      <c r="K799" s="2"/>
      <c r="L799" s="2"/>
      <c r="N799" s="24"/>
      <c r="O799" s="2"/>
      <c r="P799" s="2"/>
    </row>
    <row r="800" spans="2:16" ht="15.75" customHeight="1" x14ac:dyDescent="0.25">
      <c r="B800" s="2"/>
      <c r="C800" s="2"/>
      <c r="H800" s="25"/>
      <c r="I800" s="24"/>
      <c r="J800" s="2"/>
      <c r="K800" s="2"/>
      <c r="L800" s="2"/>
      <c r="N800" s="24"/>
      <c r="O800" s="2"/>
      <c r="P800" s="2"/>
    </row>
    <row r="801" spans="2:16" ht="15.75" customHeight="1" x14ac:dyDescent="0.25">
      <c r="B801" s="2"/>
      <c r="C801" s="2"/>
      <c r="H801" s="25"/>
      <c r="I801" s="24"/>
      <c r="J801" s="2"/>
      <c r="K801" s="2"/>
      <c r="L801" s="2"/>
      <c r="N801" s="24"/>
      <c r="O801" s="2"/>
      <c r="P801" s="2"/>
    </row>
    <row r="802" spans="2:16" ht="15.75" customHeight="1" x14ac:dyDescent="0.25">
      <c r="B802" s="2"/>
      <c r="C802" s="2"/>
      <c r="H802" s="25"/>
      <c r="I802" s="24"/>
      <c r="J802" s="2"/>
      <c r="K802" s="2"/>
      <c r="L802" s="2"/>
      <c r="N802" s="24"/>
      <c r="O802" s="2"/>
      <c r="P802" s="2"/>
    </row>
    <row r="803" spans="2:16" ht="15.75" customHeight="1" x14ac:dyDescent="0.25">
      <c r="B803" s="2"/>
      <c r="C803" s="2"/>
      <c r="H803" s="25"/>
      <c r="I803" s="24"/>
      <c r="J803" s="2"/>
      <c r="K803" s="2"/>
      <c r="L803" s="2"/>
      <c r="N803" s="24"/>
      <c r="O803" s="2"/>
      <c r="P803" s="2"/>
    </row>
    <row r="804" spans="2:16" ht="15.75" customHeight="1" x14ac:dyDescent="0.25">
      <c r="B804" s="2"/>
      <c r="C804" s="2"/>
      <c r="H804" s="25"/>
      <c r="I804" s="24"/>
      <c r="J804" s="2"/>
      <c r="K804" s="2"/>
      <c r="L804" s="2"/>
      <c r="N804" s="24"/>
      <c r="O804" s="2"/>
      <c r="P804" s="2"/>
    </row>
    <row r="805" spans="2:16" ht="15.75" customHeight="1" x14ac:dyDescent="0.25">
      <c r="B805" s="2"/>
      <c r="C805" s="2"/>
      <c r="H805" s="25"/>
      <c r="I805" s="24"/>
      <c r="J805" s="2"/>
      <c r="K805" s="2"/>
      <c r="L805" s="2"/>
      <c r="N805" s="24"/>
      <c r="O805" s="2"/>
      <c r="P805" s="2"/>
    </row>
    <row r="806" spans="2:16" ht="15.75" customHeight="1" x14ac:dyDescent="0.25">
      <c r="B806" s="2"/>
      <c r="C806" s="2"/>
      <c r="H806" s="25"/>
      <c r="I806" s="24"/>
      <c r="J806" s="2"/>
      <c r="K806" s="2"/>
      <c r="L806" s="2"/>
      <c r="N806" s="24"/>
      <c r="O806" s="2"/>
      <c r="P806" s="2"/>
    </row>
    <row r="807" spans="2:16" ht="15.75" customHeight="1" x14ac:dyDescent="0.25">
      <c r="B807" s="2"/>
      <c r="C807" s="2"/>
      <c r="H807" s="25"/>
      <c r="I807" s="24"/>
      <c r="J807" s="2"/>
      <c r="K807" s="2"/>
      <c r="L807" s="2"/>
      <c r="N807" s="24"/>
      <c r="O807" s="2"/>
      <c r="P807" s="2"/>
    </row>
    <row r="808" spans="2:16" ht="15.75" customHeight="1" x14ac:dyDescent="0.25">
      <c r="B808" s="2"/>
      <c r="C808" s="2"/>
      <c r="H808" s="25"/>
      <c r="I808" s="24"/>
      <c r="J808" s="2"/>
      <c r="K808" s="2"/>
      <c r="L808" s="2"/>
      <c r="N808" s="24"/>
      <c r="O808" s="2"/>
      <c r="P808" s="2"/>
    </row>
    <row r="809" spans="2:16" ht="15.75" customHeight="1" x14ac:dyDescent="0.25">
      <c r="B809" s="2"/>
      <c r="C809" s="2"/>
      <c r="H809" s="25"/>
      <c r="I809" s="24"/>
      <c r="J809" s="2"/>
      <c r="K809" s="2"/>
      <c r="L809" s="2"/>
      <c r="N809" s="24"/>
      <c r="O809" s="2"/>
      <c r="P809" s="2"/>
    </row>
    <row r="810" spans="2:16" ht="15.75" customHeight="1" x14ac:dyDescent="0.25">
      <c r="B810" s="2"/>
      <c r="C810" s="2"/>
      <c r="H810" s="25"/>
      <c r="I810" s="24"/>
      <c r="J810" s="2"/>
      <c r="K810" s="2"/>
      <c r="L810" s="2"/>
      <c r="N810" s="24"/>
      <c r="O810" s="2"/>
      <c r="P810" s="2"/>
    </row>
    <row r="811" spans="2:16" ht="15.75" customHeight="1" x14ac:dyDescent="0.25">
      <c r="B811" s="2"/>
      <c r="C811" s="2"/>
      <c r="H811" s="25"/>
      <c r="I811" s="24"/>
      <c r="J811" s="2"/>
      <c r="K811" s="2"/>
      <c r="L811" s="2"/>
      <c r="N811" s="24"/>
      <c r="O811" s="2"/>
      <c r="P811" s="2"/>
    </row>
    <row r="812" spans="2:16" ht="15.75" customHeight="1" x14ac:dyDescent="0.25">
      <c r="B812" s="2"/>
      <c r="C812" s="2"/>
      <c r="H812" s="25"/>
      <c r="I812" s="24"/>
      <c r="J812" s="2"/>
      <c r="K812" s="2"/>
      <c r="L812" s="2"/>
      <c r="N812" s="24"/>
      <c r="O812" s="2"/>
      <c r="P812" s="2"/>
    </row>
    <row r="813" spans="2:16" ht="15.75" customHeight="1" x14ac:dyDescent="0.25">
      <c r="B813" s="2"/>
      <c r="C813" s="2"/>
      <c r="H813" s="25"/>
      <c r="I813" s="24"/>
      <c r="J813" s="2"/>
      <c r="K813" s="2"/>
      <c r="L813" s="2"/>
      <c r="N813" s="24"/>
      <c r="O813" s="2"/>
      <c r="P813" s="2"/>
    </row>
    <row r="814" spans="2:16" ht="15.75" customHeight="1" x14ac:dyDescent="0.25">
      <c r="B814" s="2"/>
      <c r="C814" s="2"/>
      <c r="H814" s="25"/>
      <c r="I814" s="24"/>
      <c r="J814" s="2"/>
      <c r="K814" s="2"/>
      <c r="L814" s="2"/>
      <c r="N814" s="24"/>
      <c r="O814" s="2"/>
      <c r="P814" s="2"/>
    </row>
    <row r="815" spans="2:16" ht="15.75" customHeight="1" x14ac:dyDescent="0.25">
      <c r="B815" s="2"/>
      <c r="C815" s="2"/>
      <c r="H815" s="25"/>
      <c r="I815" s="24"/>
      <c r="J815" s="2"/>
      <c r="K815" s="2"/>
      <c r="L815" s="2"/>
      <c r="N815" s="24"/>
      <c r="O815" s="2"/>
      <c r="P815" s="2"/>
    </row>
    <row r="816" spans="2:16" ht="15.75" customHeight="1" x14ac:dyDescent="0.25">
      <c r="B816" s="2"/>
      <c r="C816" s="2"/>
      <c r="H816" s="25"/>
      <c r="I816" s="24"/>
      <c r="J816" s="2"/>
      <c r="K816" s="2"/>
      <c r="L816" s="2"/>
      <c r="N816" s="24"/>
      <c r="O816" s="2"/>
      <c r="P816" s="2"/>
    </row>
    <row r="817" spans="2:16" ht="15.75" customHeight="1" x14ac:dyDescent="0.25">
      <c r="B817" s="2"/>
      <c r="C817" s="2"/>
      <c r="H817" s="25"/>
      <c r="I817" s="24"/>
      <c r="J817" s="2"/>
      <c r="K817" s="2"/>
      <c r="L817" s="2"/>
      <c r="N817" s="24"/>
      <c r="O817" s="2"/>
      <c r="P817" s="2"/>
    </row>
    <row r="818" spans="2:16" ht="15.75" customHeight="1" x14ac:dyDescent="0.25">
      <c r="B818" s="2"/>
      <c r="C818" s="2"/>
      <c r="H818" s="25"/>
      <c r="I818" s="24"/>
      <c r="J818" s="2"/>
      <c r="K818" s="2"/>
      <c r="L818" s="2"/>
      <c r="N818" s="24"/>
      <c r="O818" s="2"/>
      <c r="P818" s="2"/>
    </row>
    <row r="819" spans="2:16" ht="15.75" customHeight="1" x14ac:dyDescent="0.25">
      <c r="B819" s="2"/>
      <c r="C819" s="2"/>
      <c r="H819" s="25"/>
      <c r="I819" s="24"/>
      <c r="J819" s="2"/>
      <c r="K819" s="2"/>
      <c r="L819" s="2"/>
      <c r="N819" s="24"/>
      <c r="O819" s="2"/>
      <c r="P819" s="2"/>
    </row>
    <row r="820" spans="2:16" ht="15.75" customHeight="1" x14ac:dyDescent="0.25">
      <c r="B820" s="2"/>
      <c r="C820" s="2"/>
      <c r="H820" s="25"/>
      <c r="I820" s="24"/>
      <c r="J820" s="2"/>
      <c r="K820" s="2"/>
      <c r="L820" s="2"/>
      <c r="N820" s="24"/>
      <c r="O820" s="2"/>
      <c r="P820" s="2"/>
    </row>
    <row r="821" spans="2:16" ht="15.75" customHeight="1" x14ac:dyDescent="0.25">
      <c r="B821" s="2"/>
      <c r="C821" s="2"/>
      <c r="H821" s="25"/>
      <c r="I821" s="24"/>
      <c r="J821" s="2"/>
      <c r="K821" s="2"/>
      <c r="L821" s="2"/>
      <c r="N821" s="24"/>
      <c r="O821" s="2"/>
      <c r="P821" s="2"/>
    </row>
    <row r="822" spans="2:16" ht="15.75" customHeight="1" x14ac:dyDescent="0.25">
      <c r="B822" s="2"/>
      <c r="C822" s="2"/>
      <c r="H822" s="25"/>
      <c r="I822" s="24"/>
      <c r="J822" s="2"/>
      <c r="K822" s="2"/>
      <c r="L822" s="2"/>
      <c r="N822" s="24"/>
      <c r="O822" s="2"/>
      <c r="P822" s="2"/>
    </row>
    <row r="823" spans="2:16" ht="15.75" customHeight="1" x14ac:dyDescent="0.25">
      <c r="B823" s="2"/>
      <c r="C823" s="2"/>
      <c r="H823" s="25"/>
      <c r="I823" s="24"/>
      <c r="J823" s="2"/>
      <c r="K823" s="2"/>
      <c r="L823" s="2"/>
      <c r="N823" s="24"/>
      <c r="O823" s="2"/>
      <c r="P823" s="2"/>
    </row>
    <row r="824" spans="2:16" ht="15.75" customHeight="1" x14ac:dyDescent="0.25">
      <c r="B824" s="2"/>
      <c r="C824" s="2"/>
      <c r="H824" s="25"/>
      <c r="I824" s="24"/>
      <c r="J824" s="2"/>
      <c r="K824" s="2"/>
      <c r="L824" s="2"/>
      <c r="N824" s="24"/>
      <c r="O824" s="2"/>
      <c r="P824" s="2"/>
    </row>
    <row r="825" spans="2:16" ht="15.75" customHeight="1" x14ac:dyDescent="0.25">
      <c r="B825" s="2"/>
      <c r="C825" s="2"/>
      <c r="H825" s="25"/>
      <c r="I825" s="24"/>
      <c r="J825" s="2"/>
      <c r="K825" s="2"/>
      <c r="L825" s="2"/>
      <c r="N825" s="24"/>
      <c r="O825" s="2"/>
      <c r="P825" s="2"/>
    </row>
    <row r="826" spans="2:16" ht="15.75" customHeight="1" x14ac:dyDescent="0.25">
      <c r="B826" s="2"/>
      <c r="C826" s="2"/>
      <c r="H826" s="25"/>
      <c r="I826" s="24"/>
      <c r="J826" s="2"/>
      <c r="K826" s="2"/>
      <c r="L826" s="2"/>
      <c r="N826" s="24"/>
      <c r="O826" s="2"/>
      <c r="P826" s="2"/>
    </row>
    <row r="827" spans="2:16" ht="15.75" customHeight="1" x14ac:dyDescent="0.25">
      <c r="B827" s="2"/>
      <c r="C827" s="2"/>
      <c r="H827" s="25"/>
      <c r="I827" s="24"/>
      <c r="J827" s="2"/>
      <c r="K827" s="2"/>
      <c r="L827" s="2"/>
      <c r="N827" s="24"/>
      <c r="O827" s="2"/>
      <c r="P827" s="2"/>
    </row>
    <row r="828" spans="2:16" ht="15.75" customHeight="1" x14ac:dyDescent="0.25">
      <c r="B828" s="2"/>
      <c r="C828" s="2"/>
      <c r="H828" s="25"/>
      <c r="I828" s="24"/>
      <c r="J828" s="2"/>
      <c r="K828" s="2"/>
      <c r="L828" s="2"/>
      <c r="N828" s="24"/>
      <c r="O828" s="2"/>
      <c r="P828" s="2"/>
    </row>
    <row r="829" spans="2:16" ht="15.75" customHeight="1" x14ac:dyDescent="0.25">
      <c r="B829" s="2"/>
      <c r="C829" s="2"/>
      <c r="H829" s="25"/>
      <c r="I829" s="24"/>
      <c r="J829" s="2"/>
      <c r="K829" s="2"/>
      <c r="L829" s="2"/>
      <c r="N829" s="24"/>
      <c r="O829" s="2"/>
      <c r="P829" s="2"/>
    </row>
    <row r="830" spans="2:16" ht="15.75" customHeight="1" x14ac:dyDescent="0.25">
      <c r="B830" s="2"/>
      <c r="C830" s="2"/>
      <c r="H830" s="25"/>
      <c r="I830" s="24"/>
      <c r="J830" s="2"/>
      <c r="K830" s="2"/>
      <c r="L830" s="2"/>
      <c r="N830" s="24"/>
      <c r="O830" s="2"/>
      <c r="P830" s="2"/>
    </row>
    <row r="831" spans="2:16" ht="15.75" customHeight="1" x14ac:dyDescent="0.25">
      <c r="B831" s="2"/>
      <c r="C831" s="2"/>
      <c r="H831" s="25"/>
      <c r="I831" s="24"/>
      <c r="J831" s="2"/>
      <c r="K831" s="2"/>
      <c r="L831" s="2"/>
      <c r="N831" s="24"/>
      <c r="O831" s="2"/>
      <c r="P831" s="2"/>
    </row>
    <row r="832" spans="2:16" ht="15.75" customHeight="1" x14ac:dyDescent="0.25">
      <c r="B832" s="2"/>
      <c r="C832" s="2"/>
      <c r="H832" s="25"/>
      <c r="I832" s="24"/>
      <c r="J832" s="2"/>
      <c r="K832" s="2"/>
      <c r="L832" s="2"/>
      <c r="N832" s="24"/>
      <c r="O832" s="2"/>
      <c r="P832" s="2"/>
    </row>
    <row r="833" spans="2:16" ht="15.75" customHeight="1" x14ac:dyDescent="0.25">
      <c r="B833" s="2"/>
      <c r="C833" s="2"/>
      <c r="H833" s="25"/>
      <c r="I833" s="24"/>
      <c r="J833" s="2"/>
      <c r="K833" s="2"/>
      <c r="L833" s="2"/>
      <c r="N833" s="24"/>
      <c r="O833" s="2"/>
      <c r="P833" s="2"/>
    </row>
    <row r="834" spans="2:16" ht="15.75" customHeight="1" x14ac:dyDescent="0.25">
      <c r="B834" s="2"/>
      <c r="C834" s="2"/>
      <c r="H834" s="25"/>
      <c r="I834" s="24"/>
      <c r="J834" s="2"/>
      <c r="K834" s="2"/>
      <c r="L834" s="2"/>
      <c r="N834" s="24"/>
      <c r="O834" s="2"/>
      <c r="P834" s="2"/>
    </row>
    <row r="835" spans="2:16" ht="15.75" customHeight="1" x14ac:dyDescent="0.25">
      <c r="B835" s="2"/>
      <c r="C835" s="2"/>
      <c r="H835" s="25"/>
      <c r="I835" s="24"/>
      <c r="J835" s="2"/>
      <c r="K835" s="2"/>
      <c r="L835" s="2"/>
      <c r="N835" s="24"/>
      <c r="O835" s="2"/>
      <c r="P835" s="2"/>
    </row>
    <row r="836" spans="2:16" ht="15.75" customHeight="1" x14ac:dyDescent="0.25">
      <c r="B836" s="2"/>
      <c r="C836" s="2"/>
      <c r="H836" s="25"/>
      <c r="I836" s="24"/>
      <c r="J836" s="2"/>
      <c r="K836" s="2"/>
      <c r="L836" s="2"/>
      <c r="N836" s="24"/>
      <c r="O836" s="2"/>
      <c r="P836" s="2"/>
    </row>
    <row r="837" spans="2:16" ht="15.75" customHeight="1" x14ac:dyDescent="0.25">
      <c r="B837" s="2"/>
      <c r="C837" s="2"/>
      <c r="H837" s="25"/>
      <c r="I837" s="24"/>
      <c r="J837" s="2"/>
      <c r="K837" s="2"/>
      <c r="L837" s="2"/>
      <c r="N837" s="24"/>
      <c r="O837" s="2"/>
      <c r="P837" s="2"/>
    </row>
    <row r="838" spans="2:16" ht="15.75" customHeight="1" x14ac:dyDescent="0.25">
      <c r="B838" s="2"/>
      <c r="C838" s="2"/>
      <c r="H838" s="25"/>
      <c r="I838" s="24"/>
      <c r="J838" s="2"/>
      <c r="K838" s="2"/>
      <c r="L838" s="2"/>
      <c r="N838" s="24"/>
      <c r="O838" s="2"/>
      <c r="P838" s="2"/>
    </row>
    <row r="839" spans="2:16" ht="15.75" customHeight="1" x14ac:dyDescent="0.25">
      <c r="B839" s="2"/>
      <c r="C839" s="2"/>
      <c r="H839" s="25"/>
      <c r="I839" s="24"/>
      <c r="J839" s="2"/>
      <c r="K839" s="2"/>
      <c r="L839" s="2"/>
      <c r="N839" s="24"/>
      <c r="O839" s="2"/>
      <c r="P839" s="2"/>
    </row>
    <row r="840" spans="2:16" ht="15.75" customHeight="1" x14ac:dyDescent="0.25">
      <c r="B840" s="2"/>
      <c r="C840" s="2"/>
      <c r="H840" s="25"/>
      <c r="I840" s="24"/>
      <c r="J840" s="2"/>
      <c r="K840" s="2"/>
      <c r="L840" s="2"/>
      <c r="N840" s="24"/>
      <c r="O840" s="2"/>
      <c r="P840" s="2"/>
    </row>
    <row r="841" spans="2:16" ht="15.75" customHeight="1" x14ac:dyDescent="0.25">
      <c r="B841" s="2"/>
      <c r="C841" s="2"/>
      <c r="H841" s="25"/>
      <c r="I841" s="24"/>
      <c r="J841" s="2"/>
      <c r="K841" s="2"/>
      <c r="L841" s="2"/>
      <c r="N841" s="24"/>
      <c r="O841" s="2"/>
      <c r="P841" s="2"/>
    </row>
    <row r="842" spans="2:16" ht="15.75" customHeight="1" x14ac:dyDescent="0.25">
      <c r="B842" s="2"/>
      <c r="C842" s="2"/>
      <c r="H842" s="25"/>
      <c r="I842" s="24"/>
      <c r="J842" s="2"/>
      <c r="K842" s="2"/>
      <c r="L842" s="2"/>
      <c r="N842" s="24"/>
      <c r="O842" s="2"/>
      <c r="P842" s="2"/>
    </row>
    <row r="843" spans="2:16" ht="15.75" customHeight="1" x14ac:dyDescent="0.25">
      <c r="B843" s="2"/>
      <c r="C843" s="2"/>
      <c r="H843" s="25"/>
      <c r="I843" s="24"/>
      <c r="J843" s="2"/>
      <c r="K843" s="2"/>
      <c r="L843" s="2"/>
      <c r="N843" s="24"/>
      <c r="O843" s="2"/>
      <c r="P843" s="2"/>
    </row>
    <row r="844" spans="2:16" ht="15.75" customHeight="1" x14ac:dyDescent="0.25">
      <c r="B844" s="2"/>
      <c r="C844" s="2"/>
      <c r="H844" s="25"/>
      <c r="I844" s="24"/>
      <c r="J844" s="2"/>
      <c r="K844" s="2"/>
      <c r="L844" s="2"/>
      <c r="N844" s="24"/>
      <c r="O844" s="2"/>
      <c r="P844" s="2"/>
    </row>
    <row r="845" spans="2:16" ht="15.75" customHeight="1" x14ac:dyDescent="0.25">
      <c r="B845" s="2"/>
      <c r="C845" s="2"/>
      <c r="H845" s="25"/>
      <c r="I845" s="24"/>
      <c r="J845" s="2"/>
      <c r="K845" s="2"/>
      <c r="L845" s="2"/>
      <c r="N845" s="24"/>
      <c r="O845" s="2"/>
      <c r="P845" s="2"/>
    </row>
    <row r="846" spans="2:16" ht="15.75" customHeight="1" x14ac:dyDescent="0.25">
      <c r="B846" s="2"/>
      <c r="C846" s="2"/>
      <c r="H846" s="25"/>
      <c r="I846" s="24"/>
      <c r="J846" s="2"/>
      <c r="K846" s="2"/>
      <c r="L846" s="2"/>
      <c r="N846" s="24"/>
      <c r="O846" s="2"/>
      <c r="P846" s="2"/>
    </row>
    <row r="847" spans="2:16" ht="15.75" customHeight="1" x14ac:dyDescent="0.25">
      <c r="B847" s="2"/>
      <c r="C847" s="2"/>
      <c r="H847" s="25"/>
      <c r="I847" s="24"/>
      <c r="J847" s="2"/>
      <c r="K847" s="2"/>
      <c r="L847" s="2"/>
      <c r="N847" s="24"/>
      <c r="O847" s="2"/>
      <c r="P847" s="2"/>
    </row>
    <row r="848" spans="2:16" ht="15.75" customHeight="1" x14ac:dyDescent="0.25">
      <c r="B848" s="2"/>
      <c r="C848" s="2"/>
      <c r="H848" s="25"/>
      <c r="I848" s="24"/>
      <c r="J848" s="2"/>
      <c r="K848" s="2"/>
      <c r="L848" s="2"/>
      <c r="N848" s="24"/>
      <c r="O848" s="2"/>
      <c r="P848" s="2"/>
    </row>
    <row r="849" spans="2:16" ht="15.75" customHeight="1" x14ac:dyDescent="0.25">
      <c r="B849" s="2"/>
      <c r="C849" s="2"/>
      <c r="H849" s="25"/>
      <c r="I849" s="24"/>
      <c r="J849" s="2"/>
      <c r="K849" s="2"/>
      <c r="L849" s="2"/>
      <c r="N849" s="24"/>
      <c r="O849" s="2"/>
      <c r="P849" s="2"/>
    </row>
    <row r="850" spans="2:16" ht="15.75" customHeight="1" x14ac:dyDescent="0.25">
      <c r="B850" s="2"/>
      <c r="C850" s="2"/>
      <c r="H850" s="25"/>
      <c r="I850" s="24"/>
      <c r="J850" s="2"/>
      <c r="K850" s="2"/>
      <c r="L850" s="2"/>
      <c r="N850" s="24"/>
      <c r="O850" s="2"/>
      <c r="P850" s="2"/>
    </row>
    <row r="851" spans="2:16" ht="15.75" customHeight="1" x14ac:dyDescent="0.25">
      <c r="B851" s="2"/>
      <c r="C851" s="2"/>
      <c r="H851" s="25"/>
      <c r="I851" s="24"/>
      <c r="J851" s="2"/>
      <c r="K851" s="2"/>
      <c r="L851" s="2"/>
      <c r="N851" s="24"/>
      <c r="O851" s="2"/>
      <c r="P851" s="2"/>
    </row>
    <row r="852" spans="2:16" ht="15.75" customHeight="1" x14ac:dyDescent="0.25">
      <c r="B852" s="2"/>
      <c r="C852" s="2"/>
      <c r="H852" s="25"/>
      <c r="I852" s="24"/>
      <c r="J852" s="2"/>
      <c r="K852" s="2"/>
      <c r="L852" s="2"/>
      <c r="N852" s="24"/>
      <c r="O852" s="2"/>
      <c r="P852" s="2"/>
    </row>
    <row r="853" spans="2:16" ht="15.75" customHeight="1" x14ac:dyDescent="0.25">
      <c r="B853" s="2"/>
      <c r="C853" s="2"/>
      <c r="H853" s="25"/>
      <c r="I853" s="24"/>
      <c r="J853" s="2"/>
      <c r="K853" s="2"/>
      <c r="L853" s="2"/>
      <c r="N853" s="24"/>
      <c r="O853" s="2"/>
      <c r="P853" s="2"/>
    </row>
    <row r="854" spans="2:16" ht="15.75" customHeight="1" x14ac:dyDescent="0.25">
      <c r="B854" s="2"/>
      <c r="C854" s="2"/>
      <c r="H854" s="25"/>
      <c r="I854" s="24"/>
      <c r="J854" s="2"/>
      <c r="K854" s="2"/>
      <c r="L854" s="2"/>
      <c r="N854" s="24"/>
      <c r="O854" s="2"/>
      <c r="P854" s="2"/>
    </row>
    <row r="855" spans="2:16" ht="15.75" customHeight="1" x14ac:dyDescent="0.25">
      <c r="B855" s="2"/>
      <c r="C855" s="2"/>
      <c r="H855" s="25"/>
      <c r="I855" s="24"/>
      <c r="J855" s="2"/>
      <c r="K855" s="2"/>
      <c r="L855" s="2"/>
      <c r="N855" s="24"/>
      <c r="O855" s="2"/>
      <c r="P855" s="2"/>
    </row>
    <row r="856" spans="2:16" ht="15.75" customHeight="1" x14ac:dyDescent="0.25">
      <c r="B856" s="2"/>
      <c r="C856" s="2"/>
      <c r="H856" s="25"/>
      <c r="I856" s="24"/>
      <c r="J856" s="2"/>
      <c r="K856" s="2"/>
      <c r="L856" s="2"/>
      <c r="N856" s="24"/>
      <c r="O856" s="2"/>
      <c r="P856" s="2"/>
    </row>
    <row r="857" spans="2:16" ht="15.75" customHeight="1" x14ac:dyDescent="0.25">
      <c r="B857" s="2"/>
      <c r="C857" s="2"/>
      <c r="H857" s="25"/>
      <c r="I857" s="24"/>
      <c r="J857" s="2"/>
      <c r="K857" s="2"/>
      <c r="L857" s="2"/>
      <c r="N857" s="24"/>
      <c r="O857" s="2"/>
      <c r="P857" s="2"/>
    </row>
    <row r="858" spans="2:16" ht="15.75" customHeight="1" x14ac:dyDescent="0.25">
      <c r="B858" s="2"/>
      <c r="C858" s="2"/>
      <c r="H858" s="25"/>
      <c r="I858" s="24"/>
      <c r="J858" s="2"/>
      <c r="K858" s="2"/>
      <c r="L858" s="2"/>
      <c r="N858" s="24"/>
      <c r="O858" s="2"/>
      <c r="P858" s="2"/>
    </row>
    <row r="859" spans="2:16" ht="15.75" customHeight="1" x14ac:dyDescent="0.25">
      <c r="B859" s="2"/>
      <c r="C859" s="2"/>
      <c r="H859" s="25"/>
      <c r="I859" s="24"/>
      <c r="J859" s="2"/>
      <c r="K859" s="2"/>
      <c r="L859" s="2"/>
      <c r="N859" s="24"/>
      <c r="O859" s="2"/>
      <c r="P859" s="2"/>
    </row>
    <row r="860" spans="2:16" ht="15.75" customHeight="1" x14ac:dyDescent="0.25">
      <c r="B860" s="2"/>
      <c r="C860" s="2"/>
      <c r="H860" s="25"/>
      <c r="I860" s="24"/>
      <c r="J860" s="2"/>
      <c r="K860" s="2"/>
      <c r="L860" s="2"/>
      <c r="N860" s="24"/>
      <c r="O860" s="2"/>
      <c r="P860" s="2"/>
    </row>
    <row r="861" spans="2:16" ht="15.75" customHeight="1" x14ac:dyDescent="0.25">
      <c r="B861" s="2"/>
      <c r="C861" s="2"/>
      <c r="H861" s="25"/>
      <c r="I861" s="24"/>
      <c r="J861" s="2"/>
      <c r="K861" s="2"/>
      <c r="L861" s="2"/>
      <c r="N861" s="24"/>
      <c r="O861" s="2"/>
      <c r="P861" s="2"/>
    </row>
    <row r="862" spans="2:16" ht="15.75" customHeight="1" x14ac:dyDescent="0.25">
      <c r="B862" s="2"/>
      <c r="C862" s="2"/>
      <c r="H862" s="25"/>
      <c r="I862" s="24"/>
      <c r="J862" s="2"/>
      <c r="K862" s="2"/>
      <c r="L862" s="2"/>
      <c r="N862" s="24"/>
      <c r="O862" s="2"/>
      <c r="P862" s="2"/>
    </row>
    <row r="863" spans="2:16" ht="15.75" customHeight="1" x14ac:dyDescent="0.25">
      <c r="B863" s="2"/>
      <c r="C863" s="2"/>
      <c r="H863" s="25"/>
      <c r="I863" s="24"/>
      <c r="J863" s="2"/>
      <c r="K863" s="2"/>
      <c r="L863" s="2"/>
      <c r="N863" s="24"/>
      <c r="O863" s="2"/>
      <c r="P863" s="2"/>
    </row>
    <row r="864" spans="2:16" ht="15.75" customHeight="1" x14ac:dyDescent="0.25">
      <c r="B864" s="2"/>
      <c r="C864" s="2"/>
      <c r="H864" s="25"/>
      <c r="I864" s="24"/>
      <c r="J864" s="2"/>
      <c r="K864" s="2"/>
      <c r="L864" s="2"/>
      <c r="N864" s="24"/>
      <c r="O864" s="2"/>
      <c r="P864" s="2"/>
    </row>
    <row r="865" spans="2:16" ht="15.75" customHeight="1" x14ac:dyDescent="0.25">
      <c r="B865" s="2"/>
      <c r="C865" s="2"/>
      <c r="H865" s="25"/>
      <c r="I865" s="24"/>
      <c r="J865" s="2"/>
      <c r="K865" s="2"/>
      <c r="L865" s="2"/>
      <c r="N865" s="24"/>
      <c r="O865" s="2"/>
      <c r="P865" s="2"/>
    </row>
    <row r="866" spans="2:16" ht="15.75" customHeight="1" x14ac:dyDescent="0.25">
      <c r="B866" s="2"/>
      <c r="C866" s="2"/>
      <c r="H866" s="25"/>
      <c r="I866" s="24"/>
      <c r="J866" s="2"/>
      <c r="K866" s="2"/>
      <c r="L866" s="2"/>
      <c r="N866" s="24"/>
      <c r="O866" s="2"/>
      <c r="P866" s="2"/>
    </row>
    <row r="867" spans="2:16" ht="15.75" customHeight="1" x14ac:dyDescent="0.25">
      <c r="B867" s="2"/>
      <c r="C867" s="2"/>
      <c r="H867" s="25"/>
      <c r="I867" s="24"/>
      <c r="J867" s="2"/>
      <c r="K867" s="2"/>
      <c r="L867" s="2"/>
      <c r="N867" s="24"/>
      <c r="O867" s="2"/>
      <c r="P867" s="2"/>
    </row>
    <row r="868" spans="2:16" ht="15.75" customHeight="1" x14ac:dyDescent="0.25">
      <c r="B868" s="2"/>
      <c r="C868" s="2"/>
      <c r="H868" s="25"/>
      <c r="I868" s="24"/>
      <c r="J868" s="2"/>
      <c r="K868" s="2"/>
      <c r="L868" s="2"/>
      <c r="N868" s="24"/>
      <c r="O868" s="2"/>
      <c r="P868" s="2"/>
    </row>
    <row r="869" spans="2:16" ht="15.75" customHeight="1" x14ac:dyDescent="0.25">
      <c r="B869" s="2"/>
      <c r="C869" s="2"/>
      <c r="H869" s="25"/>
      <c r="I869" s="24"/>
      <c r="J869" s="2"/>
      <c r="K869" s="2"/>
      <c r="L869" s="2"/>
      <c r="N869" s="24"/>
      <c r="O869" s="2"/>
      <c r="P869" s="2"/>
    </row>
    <row r="870" spans="2:16" ht="15.75" customHeight="1" x14ac:dyDescent="0.25">
      <c r="B870" s="2"/>
      <c r="C870" s="2"/>
      <c r="H870" s="25"/>
      <c r="I870" s="24"/>
      <c r="J870" s="2"/>
      <c r="K870" s="2"/>
      <c r="L870" s="2"/>
      <c r="N870" s="24"/>
      <c r="O870" s="2"/>
      <c r="P870" s="2"/>
    </row>
    <row r="871" spans="2:16" ht="15.75" customHeight="1" x14ac:dyDescent="0.25">
      <c r="B871" s="2"/>
      <c r="C871" s="2"/>
      <c r="H871" s="25"/>
      <c r="I871" s="24"/>
      <c r="J871" s="2"/>
      <c r="K871" s="2"/>
      <c r="L871" s="2"/>
      <c r="N871" s="24"/>
      <c r="O871" s="2"/>
      <c r="P871" s="2"/>
    </row>
    <row r="872" spans="2:16" ht="15.75" customHeight="1" x14ac:dyDescent="0.25">
      <c r="B872" s="2"/>
      <c r="C872" s="2"/>
      <c r="H872" s="25"/>
      <c r="I872" s="24"/>
      <c r="J872" s="2"/>
      <c r="K872" s="2"/>
      <c r="L872" s="2"/>
      <c r="N872" s="24"/>
      <c r="O872" s="2"/>
      <c r="P872" s="2"/>
    </row>
    <row r="873" spans="2:16" ht="15.75" customHeight="1" x14ac:dyDescent="0.25">
      <c r="B873" s="2"/>
      <c r="C873" s="2"/>
      <c r="H873" s="25"/>
      <c r="I873" s="24"/>
      <c r="J873" s="2"/>
      <c r="K873" s="2"/>
      <c r="L873" s="2"/>
      <c r="N873" s="24"/>
      <c r="O873" s="2"/>
      <c r="P873" s="2"/>
    </row>
    <row r="874" spans="2:16" ht="15.75" customHeight="1" x14ac:dyDescent="0.25">
      <c r="B874" s="2"/>
      <c r="C874" s="2"/>
      <c r="H874" s="25"/>
      <c r="I874" s="24"/>
      <c r="J874" s="2"/>
      <c r="K874" s="2"/>
      <c r="L874" s="2"/>
      <c r="N874" s="24"/>
      <c r="O874" s="2"/>
      <c r="P874" s="2"/>
    </row>
    <row r="875" spans="2:16" ht="15.75" customHeight="1" x14ac:dyDescent="0.25">
      <c r="B875" s="2"/>
      <c r="C875" s="2"/>
      <c r="H875" s="25"/>
      <c r="I875" s="24"/>
      <c r="J875" s="2"/>
      <c r="K875" s="2"/>
      <c r="L875" s="2"/>
      <c r="N875" s="24"/>
      <c r="O875" s="2"/>
      <c r="P875" s="2"/>
    </row>
    <row r="876" spans="2:16" ht="15.75" customHeight="1" x14ac:dyDescent="0.25">
      <c r="B876" s="2"/>
      <c r="C876" s="2"/>
      <c r="H876" s="25"/>
      <c r="I876" s="24"/>
      <c r="J876" s="2"/>
      <c r="K876" s="2"/>
      <c r="L876" s="2"/>
      <c r="N876" s="24"/>
      <c r="O876" s="2"/>
      <c r="P876" s="2"/>
    </row>
    <row r="877" spans="2:16" ht="15.75" customHeight="1" x14ac:dyDescent="0.25">
      <c r="B877" s="2"/>
      <c r="C877" s="2"/>
      <c r="H877" s="25"/>
      <c r="I877" s="24"/>
      <c r="J877" s="2"/>
      <c r="K877" s="2"/>
      <c r="L877" s="2"/>
      <c r="N877" s="24"/>
      <c r="O877" s="2"/>
      <c r="P877" s="2"/>
    </row>
    <row r="878" spans="2:16" ht="15.75" customHeight="1" x14ac:dyDescent="0.25">
      <c r="B878" s="2"/>
      <c r="C878" s="2"/>
      <c r="H878" s="25"/>
      <c r="I878" s="24"/>
      <c r="J878" s="2"/>
      <c r="K878" s="2"/>
      <c r="L878" s="2"/>
      <c r="N878" s="24"/>
      <c r="O878" s="2"/>
      <c r="P878" s="2"/>
    </row>
    <row r="879" spans="2:16" ht="15.75" customHeight="1" x14ac:dyDescent="0.25">
      <c r="B879" s="2"/>
      <c r="C879" s="2"/>
      <c r="H879" s="25"/>
      <c r="I879" s="24"/>
      <c r="J879" s="2"/>
      <c r="K879" s="2"/>
      <c r="L879" s="2"/>
      <c r="N879" s="24"/>
      <c r="O879" s="2"/>
      <c r="P879" s="2"/>
    </row>
    <row r="880" spans="2:16" ht="15.75" customHeight="1" x14ac:dyDescent="0.25">
      <c r="B880" s="2"/>
      <c r="C880" s="2"/>
      <c r="H880" s="25"/>
      <c r="I880" s="24"/>
      <c r="J880" s="2"/>
      <c r="K880" s="2"/>
      <c r="L880" s="2"/>
      <c r="N880" s="24"/>
      <c r="O880" s="2"/>
      <c r="P880" s="2"/>
    </row>
    <row r="881" spans="2:16" ht="15.75" customHeight="1" x14ac:dyDescent="0.25">
      <c r="B881" s="2"/>
      <c r="C881" s="2"/>
      <c r="H881" s="25"/>
      <c r="I881" s="24"/>
      <c r="J881" s="2"/>
      <c r="K881" s="2"/>
      <c r="L881" s="2"/>
      <c r="N881" s="24"/>
      <c r="O881" s="2"/>
      <c r="P881" s="2"/>
    </row>
    <row r="882" spans="2:16" ht="15.75" customHeight="1" x14ac:dyDescent="0.25">
      <c r="B882" s="2"/>
      <c r="C882" s="2"/>
      <c r="H882" s="25"/>
      <c r="I882" s="24"/>
      <c r="J882" s="2"/>
      <c r="K882" s="2"/>
      <c r="L882" s="2"/>
      <c r="N882" s="24"/>
      <c r="O882" s="2"/>
      <c r="P882" s="2"/>
    </row>
    <row r="883" spans="2:16" ht="15.75" customHeight="1" x14ac:dyDescent="0.25">
      <c r="B883" s="2"/>
      <c r="C883" s="2"/>
      <c r="H883" s="25"/>
      <c r="I883" s="24"/>
      <c r="J883" s="2"/>
      <c r="K883" s="2"/>
      <c r="L883" s="2"/>
      <c r="N883" s="24"/>
      <c r="O883" s="2"/>
      <c r="P883" s="2"/>
    </row>
    <row r="884" spans="2:16" ht="15.75" customHeight="1" x14ac:dyDescent="0.25">
      <c r="B884" s="2"/>
      <c r="C884" s="2"/>
      <c r="H884" s="25"/>
      <c r="I884" s="24"/>
      <c r="J884" s="2"/>
      <c r="K884" s="2"/>
      <c r="L884" s="2"/>
      <c r="N884" s="24"/>
      <c r="O884" s="2"/>
      <c r="P884" s="2"/>
    </row>
    <row r="885" spans="2:16" ht="15.75" customHeight="1" x14ac:dyDescent="0.25">
      <c r="B885" s="2"/>
      <c r="C885" s="2"/>
      <c r="H885" s="25"/>
      <c r="I885" s="24"/>
      <c r="J885" s="2"/>
      <c r="K885" s="2"/>
      <c r="L885" s="2"/>
      <c r="N885" s="24"/>
      <c r="O885" s="2"/>
      <c r="P885" s="2"/>
    </row>
    <row r="886" spans="2:16" ht="15.75" customHeight="1" x14ac:dyDescent="0.25">
      <c r="B886" s="2"/>
      <c r="C886" s="2"/>
      <c r="H886" s="25"/>
      <c r="I886" s="24"/>
      <c r="J886" s="2"/>
      <c r="K886" s="2"/>
      <c r="L886" s="2"/>
      <c r="N886" s="24"/>
      <c r="O886" s="2"/>
      <c r="P886" s="2"/>
    </row>
    <row r="887" spans="2:16" ht="15.75" customHeight="1" x14ac:dyDescent="0.25">
      <c r="B887" s="2"/>
      <c r="C887" s="2"/>
      <c r="H887" s="25"/>
      <c r="I887" s="24"/>
      <c r="J887" s="2"/>
      <c r="K887" s="2"/>
      <c r="L887" s="2"/>
      <c r="N887" s="24"/>
      <c r="O887" s="2"/>
      <c r="P887" s="2"/>
    </row>
    <row r="888" spans="2:16" ht="15.75" customHeight="1" x14ac:dyDescent="0.25">
      <c r="B888" s="2"/>
      <c r="C888" s="2"/>
      <c r="H888" s="25"/>
      <c r="I888" s="24"/>
      <c r="J888" s="2"/>
      <c r="K888" s="2"/>
      <c r="L888" s="2"/>
      <c r="N888" s="24"/>
      <c r="O888" s="2"/>
      <c r="P888" s="2"/>
    </row>
    <row r="889" spans="2:16" ht="15.75" customHeight="1" x14ac:dyDescent="0.25">
      <c r="B889" s="2"/>
      <c r="C889" s="2"/>
      <c r="H889" s="25"/>
      <c r="I889" s="24"/>
      <c r="J889" s="2"/>
      <c r="K889" s="2"/>
      <c r="L889" s="2"/>
      <c r="N889" s="24"/>
      <c r="O889" s="2"/>
      <c r="P889" s="2"/>
    </row>
    <row r="890" spans="2:16" ht="15.75" customHeight="1" x14ac:dyDescent="0.25">
      <c r="B890" s="2"/>
      <c r="C890" s="2"/>
      <c r="H890" s="25"/>
      <c r="I890" s="24"/>
      <c r="J890" s="2"/>
      <c r="K890" s="2"/>
      <c r="L890" s="2"/>
      <c r="N890" s="24"/>
      <c r="O890" s="2"/>
      <c r="P890" s="2"/>
    </row>
    <row r="891" spans="2:16" ht="15.75" customHeight="1" x14ac:dyDescent="0.25">
      <c r="B891" s="2"/>
      <c r="C891" s="2"/>
      <c r="H891" s="25"/>
      <c r="I891" s="24"/>
      <c r="J891" s="2"/>
      <c r="K891" s="2"/>
      <c r="L891" s="2"/>
      <c r="N891" s="24"/>
      <c r="O891" s="2"/>
      <c r="P891" s="2"/>
    </row>
    <row r="892" spans="2:16" ht="15.75" customHeight="1" x14ac:dyDescent="0.25">
      <c r="B892" s="2"/>
      <c r="C892" s="2"/>
      <c r="H892" s="25"/>
      <c r="I892" s="24"/>
      <c r="J892" s="2"/>
      <c r="K892" s="2"/>
      <c r="L892" s="2"/>
      <c r="N892" s="24"/>
      <c r="O892" s="2"/>
      <c r="P892" s="2"/>
    </row>
    <row r="893" spans="2:16" ht="15.75" customHeight="1" x14ac:dyDescent="0.25">
      <c r="B893" s="2"/>
      <c r="C893" s="2"/>
      <c r="H893" s="25"/>
      <c r="I893" s="24"/>
      <c r="J893" s="2"/>
      <c r="K893" s="2"/>
      <c r="L893" s="2"/>
      <c r="N893" s="24"/>
      <c r="O893" s="2"/>
      <c r="P893" s="2"/>
    </row>
    <row r="894" spans="2:16" ht="15.75" customHeight="1" x14ac:dyDescent="0.25">
      <c r="B894" s="2"/>
      <c r="C894" s="2"/>
      <c r="H894" s="25"/>
      <c r="I894" s="24"/>
      <c r="J894" s="2"/>
      <c r="K894" s="2"/>
      <c r="L894" s="2"/>
      <c r="N894" s="24"/>
      <c r="O894" s="2"/>
      <c r="P894" s="2"/>
    </row>
    <row r="895" spans="2:16" ht="15.75" customHeight="1" x14ac:dyDescent="0.25">
      <c r="B895" s="2"/>
      <c r="C895" s="2"/>
      <c r="H895" s="25"/>
      <c r="I895" s="24"/>
      <c r="J895" s="2"/>
      <c r="K895" s="2"/>
      <c r="L895" s="2"/>
      <c r="N895" s="24"/>
      <c r="O895" s="2"/>
      <c r="P895" s="2"/>
    </row>
    <row r="896" spans="2:16" ht="15.75" customHeight="1" x14ac:dyDescent="0.25">
      <c r="B896" s="2"/>
      <c r="C896" s="2"/>
      <c r="H896" s="25"/>
      <c r="I896" s="24"/>
      <c r="J896" s="2"/>
      <c r="K896" s="2"/>
      <c r="L896" s="2"/>
      <c r="N896" s="24"/>
      <c r="O896" s="2"/>
      <c r="P896" s="2"/>
    </row>
    <row r="897" spans="2:16" ht="15.75" customHeight="1" x14ac:dyDescent="0.25">
      <c r="B897" s="2"/>
      <c r="C897" s="2"/>
      <c r="H897" s="25"/>
      <c r="I897" s="24"/>
      <c r="J897" s="2"/>
      <c r="K897" s="2"/>
      <c r="L897" s="2"/>
      <c r="N897" s="24"/>
      <c r="O897" s="2"/>
      <c r="P897" s="2"/>
    </row>
    <row r="898" spans="2:16" ht="15.75" customHeight="1" x14ac:dyDescent="0.25">
      <c r="B898" s="2"/>
      <c r="C898" s="2"/>
      <c r="H898" s="25"/>
      <c r="I898" s="24"/>
      <c r="J898" s="2"/>
      <c r="K898" s="2"/>
      <c r="L898" s="2"/>
      <c r="N898" s="24"/>
      <c r="O898" s="2"/>
      <c r="P898" s="2"/>
    </row>
    <row r="899" spans="2:16" ht="15.75" customHeight="1" x14ac:dyDescent="0.25">
      <c r="B899" s="2"/>
      <c r="C899" s="2"/>
      <c r="H899" s="25"/>
      <c r="I899" s="24"/>
      <c r="J899" s="2"/>
      <c r="K899" s="2"/>
      <c r="L899" s="2"/>
      <c r="N899" s="24"/>
      <c r="O899" s="2"/>
      <c r="P899" s="2"/>
    </row>
    <row r="900" spans="2:16" ht="15.75" customHeight="1" x14ac:dyDescent="0.25">
      <c r="B900" s="2"/>
      <c r="C900" s="2"/>
      <c r="H900" s="25"/>
      <c r="I900" s="24"/>
      <c r="J900" s="2"/>
      <c r="K900" s="2"/>
      <c r="L900" s="2"/>
      <c r="N900" s="24"/>
      <c r="O900" s="2"/>
      <c r="P900" s="2"/>
    </row>
    <row r="901" spans="2:16" ht="15.75" customHeight="1" x14ac:dyDescent="0.25">
      <c r="B901" s="2"/>
      <c r="C901" s="2"/>
      <c r="H901" s="25"/>
      <c r="I901" s="24"/>
      <c r="J901" s="2"/>
      <c r="K901" s="2"/>
      <c r="L901" s="2"/>
      <c r="N901" s="24"/>
      <c r="O901" s="2"/>
      <c r="P901" s="2"/>
    </row>
    <row r="902" spans="2:16" ht="15.75" customHeight="1" x14ac:dyDescent="0.25">
      <c r="B902" s="2"/>
      <c r="C902" s="2"/>
      <c r="H902" s="25"/>
      <c r="I902" s="24"/>
      <c r="J902" s="2"/>
      <c r="K902" s="2"/>
      <c r="L902" s="2"/>
      <c r="N902" s="24"/>
      <c r="O902" s="2"/>
      <c r="P902" s="2"/>
    </row>
    <row r="903" spans="2:16" ht="15.75" customHeight="1" x14ac:dyDescent="0.25">
      <c r="B903" s="2"/>
      <c r="C903" s="2"/>
      <c r="H903" s="25"/>
      <c r="I903" s="24"/>
      <c r="J903" s="2"/>
      <c r="K903" s="2"/>
      <c r="L903" s="2"/>
      <c r="N903" s="24"/>
      <c r="O903" s="2"/>
      <c r="P903" s="2"/>
    </row>
    <row r="904" spans="2:16" ht="15.75" customHeight="1" x14ac:dyDescent="0.25">
      <c r="B904" s="2"/>
      <c r="C904" s="2"/>
      <c r="H904" s="25"/>
      <c r="I904" s="24"/>
      <c r="J904" s="2"/>
      <c r="K904" s="2"/>
      <c r="L904" s="2"/>
      <c r="N904" s="24"/>
      <c r="O904" s="2"/>
      <c r="P904" s="2"/>
    </row>
    <row r="905" spans="2:16" ht="15.75" customHeight="1" x14ac:dyDescent="0.25">
      <c r="B905" s="2"/>
      <c r="C905" s="2"/>
      <c r="H905" s="25"/>
      <c r="I905" s="24"/>
      <c r="J905" s="2"/>
      <c r="K905" s="2"/>
      <c r="L905" s="2"/>
      <c r="N905" s="24"/>
      <c r="O905" s="2"/>
      <c r="P905" s="2"/>
    </row>
    <row r="906" spans="2:16" ht="15.75" customHeight="1" x14ac:dyDescent="0.25">
      <c r="B906" s="2"/>
      <c r="C906" s="2"/>
      <c r="H906" s="25"/>
      <c r="I906" s="24"/>
      <c r="J906" s="2"/>
      <c r="K906" s="2"/>
      <c r="L906" s="2"/>
      <c r="N906" s="24"/>
      <c r="O906" s="2"/>
      <c r="P906" s="2"/>
    </row>
    <row r="907" spans="2:16" ht="15.75" customHeight="1" x14ac:dyDescent="0.25">
      <c r="B907" s="2"/>
      <c r="C907" s="2"/>
      <c r="H907" s="25"/>
      <c r="I907" s="24"/>
      <c r="J907" s="2"/>
      <c r="K907" s="2"/>
      <c r="L907" s="2"/>
      <c r="N907" s="24"/>
      <c r="O907" s="2"/>
      <c r="P907" s="2"/>
    </row>
    <row r="908" spans="2:16" ht="15.75" customHeight="1" x14ac:dyDescent="0.25">
      <c r="B908" s="2"/>
      <c r="C908" s="2"/>
      <c r="H908" s="25"/>
      <c r="I908" s="24"/>
      <c r="J908" s="2"/>
      <c r="K908" s="2"/>
      <c r="L908" s="2"/>
      <c r="N908" s="24"/>
      <c r="O908" s="2"/>
      <c r="P908" s="2"/>
    </row>
    <row r="909" spans="2:16" ht="15.75" customHeight="1" x14ac:dyDescent="0.25">
      <c r="B909" s="2"/>
      <c r="C909" s="2"/>
      <c r="H909" s="25"/>
      <c r="I909" s="24"/>
      <c r="J909" s="2"/>
      <c r="K909" s="2"/>
      <c r="L909" s="2"/>
      <c r="N909" s="24"/>
      <c r="O909" s="2"/>
      <c r="P909" s="2"/>
    </row>
    <row r="910" spans="2:16" ht="15.75" customHeight="1" x14ac:dyDescent="0.25">
      <c r="B910" s="2"/>
      <c r="C910" s="2"/>
      <c r="H910" s="25"/>
      <c r="I910" s="24"/>
      <c r="J910" s="2"/>
      <c r="K910" s="2"/>
      <c r="L910" s="2"/>
      <c r="N910" s="24"/>
      <c r="O910" s="2"/>
      <c r="P910" s="2"/>
    </row>
    <row r="911" spans="2:16" ht="15.75" customHeight="1" x14ac:dyDescent="0.25">
      <c r="B911" s="2"/>
      <c r="C911" s="2"/>
      <c r="H911" s="25"/>
      <c r="I911" s="24"/>
      <c r="J911" s="2"/>
      <c r="K911" s="2"/>
      <c r="L911" s="2"/>
      <c r="N911" s="24"/>
      <c r="O911" s="2"/>
      <c r="P911" s="2"/>
    </row>
    <row r="912" spans="2:16" ht="15.75" customHeight="1" x14ac:dyDescent="0.25">
      <c r="B912" s="2"/>
      <c r="C912" s="2"/>
      <c r="H912" s="25"/>
      <c r="I912" s="24"/>
      <c r="J912" s="2"/>
      <c r="K912" s="2"/>
      <c r="L912" s="2"/>
      <c r="N912" s="24"/>
      <c r="O912" s="2"/>
      <c r="P912" s="2"/>
    </row>
    <row r="913" spans="2:16" ht="15.75" customHeight="1" x14ac:dyDescent="0.25">
      <c r="B913" s="2"/>
      <c r="C913" s="2"/>
      <c r="H913" s="25"/>
      <c r="I913" s="24"/>
      <c r="J913" s="2"/>
      <c r="K913" s="2"/>
      <c r="L913" s="2"/>
      <c r="N913" s="24"/>
      <c r="O913" s="2"/>
      <c r="P913" s="2"/>
    </row>
    <row r="914" spans="2:16" ht="15.75" customHeight="1" x14ac:dyDescent="0.25">
      <c r="B914" s="2"/>
      <c r="C914" s="2"/>
      <c r="H914" s="25"/>
      <c r="I914" s="24"/>
      <c r="J914" s="2"/>
      <c r="K914" s="2"/>
      <c r="L914" s="2"/>
      <c r="N914" s="24"/>
      <c r="O914" s="2"/>
      <c r="P914" s="2"/>
    </row>
    <row r="915" spans="2:16" ht="15.75" customHeight="1" x14ac:dyDescent="0.25">
      <c r="B915" s="2"/>
      <c r="C915" s="2"/>
      <c r="H915" s="25"/>
      <c r="I915" s="24"/>
      <c r="J915" s="2"/>
      <c r="K915" s="2"/>
      <c r="L915" s="2"/>
      <c r="N915" s="24"/>
      <c r="O915" s="2"/>
      <c r="P915" s="2"/>
    </row>
    <row r="916" spans="2:16" ht="15.75" customHeight="1" x14ac:dyDescent="0.25">
      <c r="B916" s="2"/>
      <c r="C916" s="2"/>
      <c r="H916" s="25"/>
      <c r="I916" s="24"/>
      <c r="J916" s="2"/>
      <c r="K916" s="2"/>
      <c r="L916" s="2"/>
      <c r="N916" s="24"/>
      <c r="O916" s="2"/>
      <c r="P916" s="2"/>
    </row>
    <row r="917" spans="2:16" ht="15.75" customHeight="1" x14ac:dyDescent="0.25">
      <c r="B917" s="2"/>
      <c r="C917" s="2"/>
      <c r="H917" s="25"/>
      <c r="I917" s="24"/>
      <c r="J917" s="2"/>
      <c r="K917" s="2"/>
      <c r="L917" s="2"/>
      <c r="N917" s="24"/>
      <c r="O917" s="2"/>
      <c r="P917" s="2"/>
    </row>
    <row r="918" spans="2:16" ht="15.75" customHeight="1" x14ac:dyDescent="0.25">
      <c r="B918" s="2"/>
      <c r="C918" s="2"/>
      <c r="H918" s="25"/>
      <c r="I918" s="24"/>
      <c r="J918" s="2"/>
      <c r="K918" s="2"/>
      <c r="L918" s="2"/>
      <c r="N918" s="24"/>
      <c r="O918" s="2"/>
      <c r="P918" s="2"/>
    </row>
    <row r="919" spans="2:16" ht="15.75" customHeight="1" x14ac:dyDescent="0.25">
      <c r="B919" s="2"/>
      <c r="C919" s="2"/>
      <c r="H919" s="25"/>
      <c r="I919" s="24"/>
      <c r="J919" s="2"/>
      <c r="K919" s="2"/>
      <c r="L919" s="2"/>
      <c r="N919" s="24"/>
      <c r="O919" s="2"/>
      <c r="P919" s="2"/>
    </row>
    <row r="920" spans="2:16" ht="15.75" customHeight="1" x14ac:dyDescent="0.25">
      <c r="B920" s="2"/>
      <c r="C920" s="2"/>
      <c r="H920" s="25"/>
      <c r="I920" s="24"/>
      <c r="J920" s="2"/>
      <c r="K920" s="2"/>
      <c r="L920" s="2"/>
      <c r="N920" s="24"/>
      <c r="O920" s="2"/>
      <c r="P920" s="2"/>
    </row>
    <row r="921" spans="2:16" ht="15.75" customHeight="1" x14ac:dyDescent="0.25">
      <c r="B921" s="2"/>
      <c r="C921" s="2"/>
      <c r="H921" s="25"/>
      <c r="I921" s="24"/>
      <c r="J921" s="2"/>
      <c r="K921" s="2"/>
      <c r="L921" s="2"/>
      <c r="N921" s="24"/>
      <c r="O921" s="2"/>
      <c r="P921" s="2"/>
    </row>
    <row r="922" spans="2:16" ht="15.75" customHeight="1" x14ac:dyDescent="0.25">
      <c r="B922" s="2"/>
      <c r="C922" s="2"/>
      <c r="H922" s="25"/>
      <c r="I922" s="24"/>
      <c r="J922" s="2"/>
      <c r="K922" s="2"/>
      <c r="L922" s="2"/>
      <c r="N922" s="24"/>
      <c r="O922" s="2"/>
      <c r="P922" s="2"/>
    </row>
    <row r="923" spans="2:16" ht="15.75" customHeight="1" x14ac:dyDescent="0.25">
      <c r="B923" s="2"/>
      <c r="C923" s="2"/>
      <c r="H923" s="25"/>
      <c r="I923" s="24"/>
      <c r="J923" s="2"/>
      <c r="K923" s="2"/>
      <c r="L923" s="2"/>
      <c r="N923" s="24"/>
      <c r="O923" s="2"/>
      <c r="P923" s="2"/>
    </row>
    <row r="924" spans="2:16" ht="15.75" customHeight="1" x14ac:dyDescent="0.25">
      <c r="B924" s="2"/>
      <c r="C924" s="2"/>
      <c r="H924" s="25"/>
      <c r="I924" s="24"/>
      <c r="J924" s="2"/>
      <c r="K924" s="2"/>
      <c r="L924" s="2"/>
      <c r="N924" s="24"/>
      <c r="O924" s="2"/>
      <c r="P924" s="2"/>
    </row>
    <row r="925" spans="2:16" ht="15.75" customHeight="1" x14ac:dyDescent="0.25">
      <c r="B925" s="2"/>
      <c r="C925" s="2"/>
      <c r="H925" s="25"/>
      <c r="I925" s="24"/>
      <c r="J925" s="2"/>
      <c r="K925" s="2"/>
      <c r="L925" s="2"/>
      <c r="N925" s="24"/>
      <c r="O925" s="2"/>
      <c r="P925" s="2"/>
    </row>
    <row r="926" spans="2:16" ht="15.75" customHeight="1" x14ac:dyDescent="0.25">
      <c r="B926" s="2"/>
      <c r="C926" s="2"/>
      <c r="H926" s="25"/>
      <c r="I926" s="24"/>
      <c r="J926" s="2"/>
      <c r="K926" s="2"/>
      <c r="L926" s="2"/>
      <c r="N926" s="24"/>
      <c r="O926" s="2"/>
      <c r="P926" s="2"/>
    </row>
    <row r="927" spans="2:16" ht="15.75" customHeight="1" x14ac:dyDescent="0.25">
      <c r="B927" s="2"/>
      <c r="C927" s="2"/>
      <c r="H927" s="25"/>
      <c r="I927" s="24"/>
      <c r="J927" s="2"/>
      <c r="K927" s="2"/>
      <c r="L927" s="2"/>
      <c r="N927" s="24"/>
      <c r="O927" s="2"/>
      <c r="P927" s="2"/>
    </row>
    <row r="928" spans="2:16" ht="15.75" customHeight="1" x14ac:dyDescent="0.25">
      <c r="B928" s="2"/>
      <c r="C928" s="2"/>
      <c r="H928" s="25"/>
      <c r="I928" s="24"/>
      <c r="J928" s="2"/>
      <c r="K928" s="2"/>
      <c r="L928" s="2"/>
      <c r="N928" s="24"/>
      <c r="O928" s="2"/>
      <c r="P928" s="2"/>
    </row>
    <row r="929" spans="2:16" ht="15.75" customHeight="1" x14ac:dyDescent="0.25">
      <c r="B929" s="2"/>
      <c r="C929" s="2"/>
      <c r="H929" s="25"/>
      <c r="I929" s="24"/>
      <c r="J929" s="2"/>
      <c r="K929" s="2"/>
      <c r="L929" s="2"/>
      <c r="N929" s="24"/>
      <c r="O929" s="2"/>
      <c r="P929" s="2"/>
    </row>
    <row r="930" spans="2:16" ht="15.75" customHeight="1" x14ac:dyDescent="0.25">
      <c r="B930" s="2"/>
      <c r="C930" s="2"/>
      <c r="H930" s="25"/>
      <c r="I930" s="24"/>
      <c r="J930" s="2"/>
      <c r="K930" s="2"/>
      <c r="L930" s="2"/>
      <c r="N930" s="24"/>
      <c r="O930" s="2"/>
      <c r="P930" s="2"/>
    </row>
    <row r="931" spans="2:16" ht="15.75" customHeight="1" x14ac:dyDescent="0.25">
      <c r="B931" s="2"/>
      <c r="C931" s="2"/>
      <c r="H931" s="25"/>
      <c r="I931" s="24"/>
      <c r="J931" s="2"/>
      <c r="K931" s="2"/>
      <c r="L931" s="2"/>
      <c r="N931" s="24"/>
      <c r="O931" s="2"/>
      <c r="P931" s="2"/>
    </row>
    <row r="932" spans="2:16" ht="15.75" customHeight="1" x14ac:dyDescent="0.25">
      <c r="B932" s="2"/>
      <c r="C932" s="2"/>
      <c r="H932" s="25"/>
      <c r="I932" s="24"/>
      <c r="J932" s="2"/>
      <c r="K932" s="2"/>
      <c r="L932" s="2"/>
      <c r="N932" s="24"/>
      <c r="O932" s="2"/>
      <c r="P932" s="2"/>
    </row>
    <row r="933" spans="2:16" ht="15.75" customHeight="1" x14ac:dyDescent="0.25">
      <c r="B933" s="2"/>
      <c r="C933" s="2"/>
      <c r="H933" s="25"/>
      <c r="I933" s="24"/>
      <c r="J933" s="2"/>
      <c r="K933" s="2"/>
      <c r="L933" s="2"/>
      <c r="N933" s="24"/>
      <c r="O933" s="2"/>
      <c r="P933" s="2"/>
    </row>
    <row r="934" spans="2:16" ht="15.75" customHeight="1" x14ac:dyDescent="0.25">
      <c r="B934" s="2"/>
      <c r="C934" s="2"/>
      <c r="H934" s="25"/>
      <c r="I934" s="24"/>
      <c r="J934" s="2"/>
      <c r="K934" s="2"/>
      <c r="L934" s="2"/>
      <c r="N934" s="24"/>
      <c r="O934" s="2"/>
      <c r="P934" s="2"/>
    </row>
    <row r="935" spans="2:16" ht="15.75" customHeight="1" x14ac:dyDescent="0.25">
      <c r="B935" s="2"/>
      <c r="C935" s="2"/>
      <c r="H935" s="25"/>
      <c r="I935" s="24"/>
      <c r="J935" s="2"/>
      <c r="K935" s="2"/>
      <c r="L935" s="2"/>
      <c r="N935" s="24"/>
      <c r="O935" s="2"/>
      <c r="P935" s="2"/>
    </row>
    <row r="936" spans="2:16" ht="15.75" customHeight="1" x14ac:dyDescent="0.25">
      <c r="B936" s="2"/>
      <c r="C936" s="2"/>
      <c r="H936" s="25"/>
      <c r="I936" s="24"/>
      <c r="J936" s="2"/>
      <c r="K936" s="2"/>
      <c r="L936" s="2"/>
      <c r="N936" s="24"/>
      <c r="O936" s="2"/>
      <c r="P936" s="2"/>
    </row>
    <row r="937" spans="2:16" ht="15.75" customHeight="1" x14ac:dyDescent="0.25">
      <c r="B937" s="2"/>
      <c r="C937" s="2"/>
      <c r="H937" s="25"/>
      <c r="I937" s="24"/>
      <c r="J937" s="2"/>
      <c r="K937" s="2"/>
      <c r="L937" s="2"/>
      <c r="N937" s="24"/>
      <c r="O937" s="2"/>
      <c r="P937" s="2"/>
    </row>
    <row r="938" spans="2:16" ht="15.75" customHeight="1" x14ac:dyDescent="0.25">
      <c r="B938" s="2"/>
      <c r="C938" s="2"/>
      <c r="H938" s="25"/>
      <c r="I938" s="24"/>
      <c r="J938" s="2"/>
      <c r="K938" s="2"/>
      <c r="L938" s="2"/>
      <c r="N938" s="24"/>
      <c r="O938" s="2"/>
      <c r="P938" s="2"/>
    </row>
    <row r="939" spans="2:16" ht="15.75" customHeight="1" x14ac:dyDescent="0.25">
      <c r="B939" s="2"/>
      <c r="C939" s="2"/>
      <c r="H939" s="25"/>
      <c r="I939" s="24"/>
      <c r="J939" s="2"/>
      <c r="K939" s="2"/>
      <c r="L939" s="2"/>
      <c r="N939" s="24"/>
      <c r="O939" s="2"/>
      <c r="P939" s="2"/>
    </row>
    <row r="940" spans="2:16" ht="15.75" customHeight="1" x14ac:dyDescent="0.25">
      <c r="B940" s="2"/>
      <c r="C940" s="2"/>
      <c r="H940" s="25"/>
      <c r="I940" s="24"/>
      <c r="J940" s="2"/>
      <c r="K940" s="2"/>
      <c r="L940" s="2"/>
      <c r="N940" s="24"/>
      <c r="O940" s="2"/>
      <c r="P940" s="2"/>
    </row>
    <row r="941" spans="2:16" ht="15.75" customHeight="1" x14ac:dyDescent="0.25">
      <c r="B941" s="2"/>
      <c r="C941" s="2"/>
      <c r="H941" s="25"/>
      <c r="I941" s="24"/>
      <c r="J941" s="2"/>
      <c r="K941" s="2"/>
      <c r="L941" s="2"/>
      <c r="N941" s="24"/>
      <c r="O941" s="2"/>
      <c r="P941" s="2"/>
    </row>
    <row r="942" spans="2:16" ht="15.75" customHeight="1" x14ac:dyDescent="0.25">
      <c r="B942" s="2"/>
      <c r="C942" s="2"/>
      <c r="H942" s="25"/>
      <c r="I942" s="24"/>
      <c r="J942" s="2"/>
      <c r="K942" s="2"/>
      <c r="L942" s="2"/>
      <c r="N942" s="24"/>
      <c r="O942" s="2"/>
      <c r="P942" s="2"/>
    </row>
    <row r="943" spans="2:16" ht="15.75" customHeight="1" x14ac:dyDescent="0.25">
      <c r="B943" s="2"/>
      <c r="C943" s="2"/>
      <c r="H943" s="25"/>
      <c r="I943" s="24"/>
      <c r="J943" s="2"/>
      <c r="K943" s="2"/>
      <c r="L943" s="2"/>
      <c r="N943" s="24"/>
      <c r="O943" s="2"/>
      <c r="P943" s="2"/>
    </row>
    <row r="944" spans="2:16" ht="15.75" customHeight="1" x14ac:dyDescent="0.25">
      <c r="B944" s="2"/>
      <c r="C944" s="2"/>
      <c r="H944" s="25"/>
      <c r="I944" s="24"/>
      <c r="J944" s="2"/>
      <c r="K944" s="2"/>
      <c r="L944" s="2"/>
      <c r="N944" s="24"/>
      <c r="O944" s="2"/>
      <c r="P944" s="2"/>
    </row>
    <row r="945" spans="2:16" ht="15.75" customHeight="1" x14ac:dyDescent="0.25">
      <c r="B945" s="2"/>
      <c r="C945" s="2"/>
      <c r="H945" s="25"/>
      <c r="I945" s="24"/>
      <c r="J945" s="2"/>
      <c r="K945" s="2"/>
      <c r="L945" s="2"/>
      <c r="N945" s="24"/>
      <c r="O945" s="2"/>
      <c r="P945" s="2"/>
    </row>
    <row r="946" spans="2:16" ht="15.75" customHeight="1" x14ac:dyDescent="0.25">
      <c r="B946" s="2"/>
      <c r="C946" s="2"/>
      <c r="H946" s="25"/>
      <c r="I946" s="24"/>
      <c r="J946" s="2"/>
      <c r="K946" s="2"/>
      <c r="L946" s="2"/>
      <c r="N946" s="24"/>
      <c r="O946" s="2"/>
      <c r="P946" s="2"/>
    </row>
    <row r="947" spans="2:16" ht="15.75" customHeight="1" x14ac:dyDescent="0.25">
      <c r="B947" s="2"/>
      <c r="C947" s="2"/>
      <c r="H947" s="25"/>
      <c r="I947" s="24"/>
      <c r="J947" s="2"/>
      <c r="K947" s="2"/>
      <c r="L947" s="2"/>
      <c r="N947" s="24"/>
      <c r="O947" s="2"/>
      <c r="P947" s="2"/>
    </row>
    <row r="948" spans="2:16" ht="15.75" customHeight="1" x14ac:dyDescent="0.25">
      <c r="B948" s="2"/>
      <c r="C948" s="2"/>
      <c r="H948" s="25"/>
      <c r="I948" s="24"/>
      <c r="J948" s="2"/>
      <c r="K948" s="2"/>
      <c r="L948" s="2"/>
      <c r="N948" s="24"/>
      <c r="O948" s="2"/>
      <c r="P948" s="2"/>
    </row>
    <row r="949" spans="2:16" ht="15.75" customHeight="1" x14ac:dyDescent="0.25">
      <c r="B949" s="2"/>
      <c r="C949" s="2"/>
      <c r="H949" s="25"/>
      <c r="I949" s="24"/>
      <c r="J949" s="2"/>
      <c r="K949" s="2"/>
      <c r="L949" s="2"/>
      <c r="N949" s="24"/>
      <c r="O949" s="2"/>
      <c r="P949" s="2"/>
    </row>
    <row r="950" spans="2:16" ht="15.75" customHeight="1" x14ac:dyDescent="0.25">
      <c r="B950" s="2"/>
      <c r="C950" s="2"/>
      <c r="H950" s="25"/>
      <c r="I950" s="24"/>
      <c r="J950" s="2"/>
      <c r="K950" s="2"/>
      <c r="L950" s="2"/>
      <c r="N950" s="24"/>
      <c r="O950" s="2"/>
      <c r="P950" s="2"/>
    </row>
    <row r="951" spans="2:16" ht="15.75" customHeight="1" x14ac:dyDescent="0.25">
      <c r="B951" s="2"/>
      <c r="C951" s="2"/>
      <c r="H951" s="25"/>
      <c r="I951" s="24"/>
      <c r="J951" s="2"/>
      <c r="K951" s="2"/>
      <c r="L951" s="2"/>
      <c r="N951" s="24"/>
      <c r="O951" s="2"/>
      <c r="P951" s="2"/>
    </row>
    <row r="952" spans="2:16" ht="15.75" customHeight="1" x14ac:dyDescent="0.25">
      <c r="B952" s="2"/>
      <c r="C952" s="2"/>
      <c r="H952" s="25"/>
      <c r="I952" s="24"/>
      <c r="J952" s="2"/>
      <c r="K952" s="2"/>
      <c r="L952" s="2"/>
      <c r="N952" s="24"/>
      <c r="O952" s="2"/>
      <c r="P952" s="2"/>
    </row>
    <row r="953" spans="2:16" ht="15.75" customHeight="1" x14ac:dyDescent="0.25">
      <c r="B953" s="2"/>
      <c r="C953" s="2"/>
      <c r="H953" s="25"/>
      <c r="I953" s="24"/>
      <c r="J953" s="2"/>
      <c r="K953" s="2"/>
      <c r="L953" s="2"/>
      <c r="N953" s="24"/>
      <c r="O953" s="2"/>
      <c r="P953" s="2"/>
    </row>
    <row r="954" spans="2:16" ht="15.75" customHeight="1" x14ac:dyDescent="0.25">
      <c r="B954" s="2"/>
      <c r="C954" s="2"/>
      <c r="H954" s="25"/>
      <c r="I954" s="24"/>
      <c r="J954" s="2"/>
      <c r="K954" s="2"/>
      <c r="L954" s="2"/>
      <c r="N954" s="24"/>
      <c r="O954" s="2"/>
      <c r="P954" s="2"/>
    </row>
    <row r="955" spans="2:16" ht="15.75" customHeight="1" x14ac:dyDescent="0.25">
      <c r="B955" s="2"/>
      <c r="C955" s="2"/>
      <c r="H955" s="25"/>
      <c r="I955" s="24"/>
      <c r="J955" s="2"/>
      <c r="K955" s="2"/>
      <c r="L955" s="2"/>
      <c r="N955" s="24"/>
      <c r="O955" s="2"/>
      <c r="P955" s="2"/>
    </row>
    <row r="956" spans="2:16" ht="15.75" customHeight="1" x14ac:dyDescent="0.25">
      <c r="B956" s="2"/>
      <c r="C956" s="2"/>
      <c r="H956" s="25"/>
      <c r="I956" s="24"/>
      <c r="J956" s="2"/>
      <c r="K956" s="2"/>
      <c r="L956" s="2"/>
      <c r="N956" s="24"/>
      <c r="O956" s="2"/>
      <c r="P956" s="2"/>
    </row>
    <row r="957" spans="2:16" ht="15.75" customHeight="1" x14ac:dyDescent="0.25">
      <c r="B957" s="2"/>
      <c r="C957" s="2"/>
      <c r="H957" s="25"/>
      <c r="I957" s="24"/>
      <c r="J957" s="2"/>
      <c r="K957" s="2"/>
      <c r="L957" s="2"/>
      <c r="N957" s="24"/>
      <c r="O957" s="2"/>
      <c r="P957" s="2"/>
    </row>
    <row r="958" spans="2:16" ht="15.75" customHeight="1" x14ac:dyDescent="0.25">
      <c r="B958" s="2"/>
      <c r="C958" s="2"/>
      <c r="H958" s="25"/>
      <c r="I958" s="24"/>
      <c r="J958" s="2"/>
      <c r="K958" s="2"/>
      <c r="L958" s="2"/>
      <c r="N958" s="24"/>
      <c r="O958" s="2"/>
      <c r="P958" s="2"/>
    </row>
    <row r="959" spans="2:16" ht="15.75" customHeight="1" x14ac:dyDescent="0.25">
      <c r="B959" s="2"/>
      <c r="C959" s="2"/>
      <c r="H959" s="25"/>
      <c r="I959" s="24"/>
      <c r="J959" s="2"/>
      <c r="K959" s="2"/>
      <c r="L959" s="2"/>
      <c r="N959" s="24"/>
      <c r="O959" s="2"/>
      <c r="P959" s="2"/>
    </row>
    <row r="960" spans="2:16" ht="15.75" customHeight="1" x14ac:dyDescent="0.25">
      <c r="B960" s="2"/>
      <c r="C960" s="2"/>
      <c r="H960" s="25"/>
      <c r="I960" s="24"/>
      <c r="J960" s="2"/>
      <c r="K960" s="2"/>
      <c r="L960" s="2"/>
      <c r="N960" s="24"/>
      <c r="O960" s="2"/>
      <c r="P960" s="2"/>
    </row>
    <row r="961" spans="2:16" ht="15.75" customHeight="1" x14ac:dyDescent="0.25">
      <c r="B961" s="2"/>
      <c r="C961" s="2"/>
      <c r="H961" s="25"/>
      <c r="I961" s="24"/>
      <c r="J961" s="2"/>
      <c r="K961" s="2"/>
      <c r="L961" s="2"/>
      <c r="N961" s="24"/>
      <c r="O961" s="2"/>
      <c r="P961" s="2"/>
    </row>
    <row r="962" spans="2:16" ht="15.75" customHeight="1" x14ac:dyDescent="0.25">
      <c r="B962" s="2"/>
      <c r="C962" s="2"/>
      <c r="H962" s="25"/>
      <c r="I962" s="24"/>
      <c r="J962" s="2"/>
      <c r="K962" s="2"/>
      <c r="L962" s="2"/>
      <c r="N962" s="24"/>
      <c r="O962" s="2"/>
      <c r="P962" s="2"/>
    </row>
    <row r="963" spans="2:16" ht="15.75" customHeight="1" x14ac:dyDescent="0.25">
      <c r="B963" s="2"/>
      <c r="C963" s="2"/>
      <c r="H963" s="25"/>
      <c r="I963" s="24"/>
      <c r="J963" s="2"/>
      <c r="K963" s="2"/>
      <c r="L963" s="2"/>
      <c r="N963" s="24"/>
      <c r="O963" s="2"/>
      <c r="P963" s="2"/>
    </row>
    <row r="964" spans="2:16" ht="15.75" customHeight="1" x14ac:dyDescent="0.25">
      <c r="B964" s="2"/>
      <c r="C964" s="2"/>
      <c r="H964" s="25"/>
      <c r="I964" s="24"/>
      <c r="J964" s="2"/>
      <c r="K964" s="2"/>
      <c r="L964" s="2"/>
      <c r="N964" s="24"/>
      <c r="O964" s="2"/>
      <c r="P964" s="2"/>
    </row>
    <row r="965" spans="2:16" ht="15.75" customHeight="1" x14ac:dyDescent="0.25">
      <c r="B965" s="2"/>
      <c r="C965" s="2"/>
      <c r="H965" s="25"/>
      <c r="I965" s="24"/>
      <c r="J965" s="2"/>
      <c r="K965" s="2"/>
      <c r="L965" s="2"/>
      <c r="N965" s="24"/>
      <c r="O965" s="2"/>
      <c r="P965" s="2"/>
    </row>
    <row r="966" spans="2:16" ht="15.75" customHeight="1" x14ac:dyDescent="0.25">
      <c r="B966" s="2"/>
      <c r="C966" s="2"/>
      <c r="H966" s="25"/>
      <c r="I966" s="24"/>
      <c r="J966" s="2"/>
      <c r="K966" s="2"/>
      <c r="L966" s="2"/>
      <c r="N966" s="24"/>
      <c r="O966" s="2"/>
      <c r="P966" s="2"/>
    </row>
    <row r="967" spans="2:16" ht="15.75" customHeight="1" x14ac:dyDescent="0.25">
      <c r="B967" s="2"/>
      <c r="C967" s="2"/>
      <c r="H967" s="25"/>
      <c r="I967" s="24"/>
      <c r="J967" s="2"/>
      <c r="K967" s="2"/>
      <c r="L967" s="2"/>
      <c r="N967" s="24"/>
      <c r="O967" s="2"/>
      <c r="P967" s="2"/>
    </row>
    <row r="968" spans="2:16" ht="15.75" customHeight="1" x14ac:dyDescent="0.25">
      <c r="B968" s="2"/>
      <c r="C968" s="2"/>
      <c r="H968" s="25"/>
      <c r="I968" s="24"/>
      <c r="J968" s="2"/>
      <c r="K968" s="2"/>
      <c r="L968" s="2"/>
      <c r="N968" s="24"/>
      <c r="O968" s="2"/>
      <c r="P968" s="2"/>
    </row>
    <row r="969" spans="2:16" ht="15.75" customHeight="1" x14ac:dyDescent="0.25">
      <c r="B969" s="2"/>
      <c r="C969" s="2"/>
      <c r="H969" s="25"/>
      <c r="I969" s="24"/>
      <c r="J969" s="2"/>
      <c r="K969" s="2"/>
      <c r="L969" s="2"/>
      <c r="N969" s="24"/>
      <c r="O969" s="2"/>
      <c r="P969" s="2"/>
    </row>
    <row r="970" spans="2:16" ht="15.75" customHeight="1" x14ac:dyDescent="0.25">
      <c r="B970" s="2"/>
      <c r="C970" s="2"/>
      <c r="H970" s="25"/>
      <c r="I970" s="24"/>
      <c r="J970" s="2"/>
      <c r="K970" s="2"/>
      <c r="L970" s="2"/>
      <c r="N970" s="24"/>
      <c r="O970" s="2"/>
      <c r="P970" s="2"/>
    </row>
    <row r="971" spans="2:16" ht="15.75" customHeight="1" x14ac:dyDescent="0.25">
      <c r="B971" s="2"/>
      <c r="C971" s="2"/>
      <c r="H971" s="25"/>
      <c r="I971" s="24"/>
      <c r="J971" s="2"/>
      <c r="K971" s="2"/>
      <c r="L971" s="2"/>
      <c r="N971" s="24"/>
      <c r="O971" s="2"/>
      <c r="P971" s="2"/>
    </row>
    <row r="972" spans="2:16" ht="15.75" customHeight="1" x14ac:dyDescent="0.25">
      <c r="B972" s="2"/>
      <c r="C972" s="2"/>
      <c r="H972" s="25"/>
      <c r="I972" s="24"/>
      <c r="J972" s="2"/>
      <c r="K972" s="2"/>
      <c r="L972" s="2"/>
      <c r="N972" s="24"/>
      <c r="O972" s="2"/>
      <c r="P972" s="2"/>
    </row>
    <row r="973" spans="2:16" ht="15.75" customHeight="1" x14ac:dyDescent="0.25">
      <c r="B973" s="2"/>
      <c r="C973" s="2"/>
      <c r="H973" s="25"/>
      <c r="I973" s="24"/>
      <c r="J973" s="2"/>
      <c r="K973" s="2"/>
      <c r="L973" s="2"/>
      <c r="N973" s="24"/>
      <c r="O973" s="2"/>
      <c r="P973" s="2"/>
    </row>
    <row r="974" spans="2:16" ht="15.75" customHeight="1" x14ac:dyDescent="0.25">
      <c r="B974" s="2"/>
      <c r="C974" s="2"/>
      <c r="H974" s="25"/>
      <c r="I974" s="24"/>
      <c r="J974" s="2"/>
      <c r="K974" s="2"/>
      <c r="L974" s="2"/>
      <c r="N974" s="24"/>
      <c r="O974" s="2"/>
      <c r="P974" s="2"/>
    </row>
    <row r="975" spans="2:16" ht="15.75" customHeight="1" x14ac:dyDescent="0.25">
      <c r="B975" s="2"/>
      <c r="C975" s="2"/>
      <c r="H975" s="25"/>
      <c r="I975" s="24"/>
      <c r="J975" s="2"/>
      <c r="K975" s="2"/>
      <c r="L975" s="2"/>
      <c r="N975" s="24"/>
      <c r="O975" s="2"/>
      <c r="P975" s="2"/>
    </row>
    <row r="976" spans="2:16" ht="15.75" customHeight="1" x14ac:dyDescent="0.25">
      <c r="B976" s="2"/>
      <c r="C976" s="2"/>
      <c r="H976" s="25"/>
      <c r="I976" s="24"/>
      <c r="J976" s="2"/>
      <c r="K976" s="2"/>
      <c r="L976" s="2"/>
      <c r="N976" s="24"/>
      <c r="O976" s="2"/>
      <c r="P976" s="2"/>
    </row>
    <row r="977" spans="2:16" ht="15.75" customHeight="1" x14ac:dyDescent="0.25">
      <c r="B977" s="2"/>
      <c r="C977" s="2"/>
      <c r="H977" s="25"/>
      <c r="I977" s="24"/>
      <c r="J977" s="2"/>
      <c r="K977" s="2"/>
      <c r="L977" s="2"/>
      <c r="N977" s="24"/>
      <c r="O977" s="2"/>
      <c r="P977" s="2"/>
    </row>
    <row r="978" spans="2:16" ht="15.75" customHeight="1" x14ac:dyDescent="0.25">
      <c r="B978" s="2"/>
      <c r="C978" s="2"/>
      <c r="H978" s="25"/>
      <c r="I978" s="24"/>
      <c r="J978" s="2"/>
      <c r="K978" s="2"/>
      <c r="L978" s="2"/>
      <c r="N978" s="24"/>
      <c r="O978" s="2"/>
      <c r="P978" s="2"/>
    </row>
    <row r="979" spans="2:16" ht="15.75" customHeight="1" x14ac:dyDescent="0.25">
      <c r="B979" s="2"/>
      <c r="C979" s="2"/>
      <c r="H979" s="25"/>
      <c r="I979" s="24"/>
      <c r="J979" s="2"/>
      <c r="K979" s="2"/>
      <c r="L979" s="2"/>
      <c r="N979" s="24"/>
      <c r="O979" s="2"/>
      <c r="P979" s="2"/>
    </row>
    <row r="980" spans="2:16" ht="15.75" customHeight="1" x14ac:dyDescent="0.25">
      <c r="B980" s="2"/>
      <c r="C980" s="2"/>
      <c r="H980" s="25"/>
      <c r="I980" s="24"/>
      <c r="J980" s="2"/>
      <c r="K980" s="2"/>
      <c r="L980" s="2"/>
      <c r="N980" s="24"/>
      <c r="O980" s="2"/>
      <c r="P980" s="2"/>
    </row>
    <row r="981" spans="2:16" ht="15.75" customHeight="1" x14ac:dyDescent="0.25">
      <c r="B981" s="2"/>
      <c r="C981" s="2"/>
      <c r="H981" s="25"/>
      <c r="I981" s="24"/>
      <c r="J981" s="2"/>
      <c r="K981" s="2"/>
      <c r="L981" s="2"/>
      <c r="N981" s="24"/>
      <c r="O981" s="2"/>
      <c r="P981" s="2"/>
    </row>
    <row r="982" spans="2:16" ht="15.75" customHeight="1" x14ac:dyDescent="0.25">
      <c r="B982" s="2"/>
      <c r="C982" s="2"/>
      <c r="H982" s="25"/>
      <c r="I982" s="24"/>
      <c r="J982" s="2"/>
      <c r="K982" s="2"/>
      <c r="L982" s="2"/>
      <c r="N982" s="24"/>
      <c r="O982" s="2"/>
      <c r="P982" s="2"/>
    </row>
    <row r="983" spans="2:16" ht="15.75" customHeight="1" x14ac:dyDescent="0.25">
      <c r="B983" s="2"/>
      <c r="C983" s="2"/>
      <c r="H983" s="25"/>
      <c r="I983" s="24"/>
      <c r="J983" s="2"/>
      <c r="K983" s="2"/>
      <c r="L983" s="2"/>
      <c r="N983" s="24"/>
      <c r="O983" s="2"/>
      <c r="P983" s="2"/>
    </row>
    <row r="984" spans="2:16" ht="15.75" customHeight="1" x14ac:dyDescent="0.25">
      <c r="B984" s="2"/>
      <c r="C984" s="2"/>
      <c r="H984" s="25"/>
      <c r="I984" s="24"/>
      <c r="J984" s="2"/>
      <c r="K984" s="2"/>
      <c r="L984" s="2"/>
      <c r="N984" s="24"/>
      <c r="O984" s="2"/>
      <c r="P984" s="2"/>
    </row>
    <row r="985" spans="2:16" ht="15.75" customHeight="1" x14ac:dyDescent="0.25">
      <c r="B985" s="2"/>
      <c r="C985" s="2"/>
      <c r="H985" s="25"/>
      <c r="I985" s="24"/>
      <c r="J985" s="2"/>
      <c r="K985" s="2"/>
      <c r="L985" s="2"/>
      <c r="N985" s="24"/>
      <c r="O985" s="2"/>
      <c r="P985" s="2"/>
    </row>
    <row r="986" spans="2:16" ht="15.75" customHeight="1" x14ac:dyDescent="0.25">
      <c r="B986" s="2"/>
      <c r="C986" s="2"/>
      <c r="H986" s="25"/>
      <c r="I986" s="24"/>
      <c r="J986" s="2"/>
      <c r="K986" s="2"/>
      <c r="L986" s="2"/>
      <c r="N986" s="24"/>
      <c r="O986" s="2"/>
      <c r="P986" s="2"/>
    </row>
    <row r="987" spans="2:16" ht="15.75" customHeight="1" x14ac:dyDescent="0.25">
      <c r="B987" s="2"/>
      <c r="C987" s="2"/>
      <c r="H987" s="25"/>
      <c r="I987" s="24"/>
      <c r="J987" s="2"/>
      <c r="K987" s="2"/>
      <c r="L987" s="2"/>
      <c r="N987" s="24"/>
      <c r="O987" s="2"/>
      <c r="P987" s="2"/>
    </row>
    <row r="988" spans="2:16" ht="15.75" customHeight="1" x14ac:dyDescent="0.25">
      <c r="B988" s="2"/>
      <c r="C988" s="2"/>
      <c r="H988" s="25"/>
      <c r="I988" s="24"/>
      <c r="J988" s="2"/>
      <c r="K988" s="2"/>
      <c r="L988" s="2"/>
      <c r="N988" s="24"/>
      <c r="O988" s="2"/>
      <c r="P988" s="2"/>
    </row>
    <row r="989" spans="2:16" ht="15.75" customHeight="1" x14ac:dyDescent="0.25">
      <c r="B989" s="2"/>
      <c r="C989" s="2"/>
      <c r="H989" s="25"/>
      <c r="I989" s="24"/>
      <c r="J989" s="2"/>
      <c r="K989" s="2"/>
      <c r="L989" s="2"/>
      <c r="N989" s="24"/>
      <c r="O989" s="2"/>
      <c r="P989" s="2"/>
    </row>
    <row r="990" spans="2:16" ht="15.75" customHeight="1" x14ac:dyDescent="0.25">
      <c r="B990" s="2"/>
      <c r="C990" s="2"/>
      <c r="H990" s="25"/>
      <c r="I990" s="24"/>
      <c r="J990" s="2"/>
      <c r="K990" s="2"/>
      <c r="L990" s="2"/>
      <c r="N990" s="24"/>
      <c r="O990" s="2"/>
      <c r="P990" s="2"/>
    </row>
    <row r="991" spans="2:16" ht="15.75" customHeight="1" x14ac:dyDescent="0.25">
      <c r="B991" s="2"/>
      <c r="C991" s="2"/>
      <c r="H991" s="25"/>
      <c r="I991" s="24"/>
      <c r="J991" s="2"/>
      <c r="K991" s="2"/>
      <c r="L991" s="2"/>
      <c r="N991" s="24"/>
      <c r="O991" s="2"/>
      <c r="P991" s="2"/>
    </row>
    <row r="992" spans="2:16" ht="15.75" customHeight="1" x14ac:dyDescent="0.25">
      <c r="B992" s="2"/>
      <c r="C992" s="2"/>
      <c r="H992" s="25"/>
      <c r="I992" s="24"/>
      <c r="J992" s="2"/>
      <c r="K992" s="2"/>
      <c r="L992" s="2"/>
      <c r="N992" s="24"/>
      <c r="O992" s="2"/>
      <c r="P992" s="2"/>
    </row>
    <row r="993" spans="2:16" ht="15.75" customHeight="1" x14ac:dyDescent="0.25">
      <c r="B993" s="2"/>
      <c r="C993" s="2"/>
      <c r="H993" s="25"/>
      <c r="I993" s="24"/>
      <c r="J993" s="2"/>
      <c r="K993" s="2"/>
      <c r="L993" s="2"/>
      <c r="N993" s="24"/>
      <c r="O993" s="2"/>
      <c r="P993" s="2"/>
    </row>
    <row r="994" spans="2:16" ht="15.75" customHeight="1" x14ac:dyDescent="0.25">
      <c r="B994" s="2"/>
      <c r="C994" s="2"/>
      <c r="H994" s="25"/>
      <c r="I994" s="24"/>
      <c r="J994" s="2"/>
      <c r="K994" s="2"/>
      <c r="L994" s="2"/>
      <c r="N994" s="24"/>
      <c r="O994" s="2"/>
      <c r="P994" s="2"/>
    </row>
    <row r="995" spans="2:16" ht="15.75" customHeight="1" x14ac:dyDescent="0.25">
      <c r="B995" s="2"/>
      <c r="C995" s="2"/>
      <c r="H995" s="25"/>
      <c r="I995" s="24"/>
      <c r="J995" s="2"/>
      <c r="K995" s="2"/>
      <c r="L995" s="2"/>
      <c r="N995" s="24"/>
      <c r="O995" s="2"/>
      <c r="P995" s="2"/>
    </row>
    <row r="996" spans="2:16" ht="15.75" customHeight="1" x14ac:dyDescent="0.25">
      <c r="B996" s="2"/>
      <c r="C996" s="2"/>
      <c r="H996" s="25"/>
      <c r="I996" s="24"/>
      <c r="J996" s="2"/>
      <c r="K996" s="2"/>
      <c r="L996" s="2"/>
      <c r="N996" s="24"/>
      <c r="O996" s="2"/>
      <c r="P996" s="2"/>
    </row>
    <row r="997" spans="2:16" ht="15.75" customHeight="1" x14ac:dyDescent="0.25">
      <c r="B997" s="2"/>
      <c r="C997" s="2"/>
      <c r="H997" s="25"/>
      <c r="I997" s="24"/>
      <c r="J997" s="2"/>
      <c r="K997" s="2"/>
      <c r="L997" s="2"/>
      <c r="N997" s="24"/>
      <c r="O997" s="2"/>
      <c r="P997" s="2"/>
    </row>
    <row r="998" spans="2:16" ht="15.75" customHeight="1" x14ac:dyDescent="0.25">
      <c r="B998" s="2"/>
      <c r="C998" s="2"/>
      <c r="H998" s="25"/>
      <c r="I998" s="24"/>
      <c r="J998" s="2"/>
      <c r="K998" s="2"/>
      <c r="L998" s="2"/>
      <c r="N998" s="24"/>
      <c r="O998" s="2"/>
      <c r="P998" s="2"/>
    </row>
    <row r="999" spans="2:16" ht="15.75" customHeight="1" x14ac:dyDescent="0.25">
      <c r="B999" s="2"/>
      <c r="C999" s="2"/>
      <c r="H999" s="25"/>
      <c r="I999" s="24"/>
      <c r="J999" s="2"/>
      <c r="K999" s="2"/>
      <c r="L999" s="2"/>
      <c r="N999" s="24"/>
      <c r="O999" s="2"/>
      <c r="P999" s="2"/>
    </row>
    <row r="1000" spans="2:16" ht="15.75" customHeight="1" x14ac:dyDescent="0.25">
      <c r="B1000" s="2"/>
      <c r="C1000" s="2"/>
      <c r="H1000" s="25"/>
      <c r="I1000" s="24"/>
      <c r="J1000" s="2"/>
      <c r="K1000" s="2"/>
      <c r="L1000" s="2"/>
      <c r="N1000" s="24"/>
      <c r="O1000" s="2"/>
      <c r="P1000" s="2"/>
    </row>
    <row r="1001" spans="2:16" ht="15.75" customHeight="1" x14ac:dyDescent="0.25">
      <c r="B1001" s="2"/>
      <c r="C1001" s="2"/>
      <c r="H1001" s="25"/>
      <c r="I1001" s="24"/>
      <c r="J1001" s="2"/>
      <c r="K1001" s="2"/>
      <c r="L1001" s="2"/>
      <c r="N1001" s="24"/>
      <c r="O1001" s="2"/>
      <c r="P1001" s="2"/>
    </row>
    <row r="1002" spans="2:16" ht="15.75" customHeight="1" x14ac:dyDescent="0.25">
      <c r="B1002" s="2"/>
      <c r="C1002" s="2"/>
      <c r="H1002" s="25"/>
      <c r="I1002" s="24"/>
      <c r="J1002" s="2"/>
      <c r="K1002" s="2"/>
      <c r="L1002" s="2"/>
      <c r="N1002" s="24"/>
      <c r="O1002" s="2"/>
      <c r="P1002" s="2"/>
    </row>
    <row r="1003" spans="2:16" ht="15.75" customHeight="1" x14ac:dyDescent="0.25">
      <c r="B1003" s="2"/>
      <c r="C1003" s="2"/>
      <c r="H1003" s="25"/>
      <c r="I1003" s="24"/>
      <c r="J1003" s="2"/>
      <c r="K1003" s="2"/>
      <c r="L1003" s="2"/>
      <c r="N1003" s="24"/>
      <c r="O1003" s="2"/>
      <c r="P1003" s="2"/>
    </row>
    <row r="1004" spans="2:16" ht="15.75" customHeight="1" x14ac:dyDescent="0.25">
      <c r="B1004" s="2"/>
      <c r="C1004" s="2"/>
      <c r="H1004" s="25"/>
      <c r="I1004" s="24"/>
      <c r="J1004" s="2"/>
      <c r="K1004" s="2"/>
      <c r="L1004" s="2"/>
      <c r="N1004" s="24"/>
      <c r="O1004" s="2"/>
      <c r="P1004" s="2"/>
    </row>
    <row r="1005" spans="2:16" ht="15.75" customHeight="1" x14ac:dyDescent="0.25">
      <c r="B1005" s="2"/>
      <c r="C1005" s="2"/>
      <c r="H1005" s="25"/>
      <c r="I1005" s="24"/>
      <c r="J1005" s="2"/>
      <c r="K1005" s="2"/>
      <c r="L1005" s="2"/>
      <c r="N1005" s="24"/>
      <c r="O1005" s="2"/>
      <c r="P1005" s="2"/>
    </row>
    <row r="1006" spans="2:16" ht="15.75" customHeight="1" x14ac:dyDescent="0.25">
      <c r="B1006" s="2"/>
      <c r="C1006" s="2"/>
      <c r="H1006" s="25"/>
      <c r="I1006" s="24"/>
      <c r="J1006" s="2"/>
      <c r="K1006" s="2"/>
      <c r="L1006" s="2"/>
      <c r="N1006" s="24"/>
      <c r="O1006" s="2"/>
      <c r="P1006" s="2"/>
    </row>
    <row r="1007" spans="2:16" ht="15.75" customHeight="1" x14ac:dyDescent="0.25">
      <c r="B1007" s="2"/>
      <c r="C1007" s="2"/>
      <c r="H1007" s="25"/>
      <c r="I1007" s="24"/>
      <c r="J1007" s="2"/>
      <c r="K1007" s="2"/>
      <c r="L1007" s="2"/>
      <c r="N1007" s="24"/>
      <c r="O1007" s="2"/>
      <c r="P1007" s="2"/>
    </row>
    <row r="1008" spans="2:16" ht="15.75" customHeight="1" x14ac:dyDescent="0.25">
      <c r="B1008" s="2"/>
      <c r="C1008" s="2"/>
      <c r="H1008" s="25"/>
      <c r="I1008" s="24"/>
      <c r="J1008" s="2"/>
      <c r="K1008" s="2"/>
      <c r="L1008" s="2"/>
      <c r="N1008" s="24"/>
      <c r="O1008" s="2"/>
      <c r="P1008" s="2"/>
    </row>
    <row r="1009" spans="2:16" ht="15.75" customHeight="1" x14ac:dyDescent="0.25">
      <c r="B1009" s="2"/>
      <c r="C1009" s="2"/>
      <c r="H1009" s="25"/>
      <c r="I1009" s="24"/>
      <c r="J1009" s="2"/>
      <c r="K1009" s="2"/>
      <c r="L1009" s="2"/>
      <c r="N1009" s="24"/>
      <c r="O1009" s="2"/>
      <c r="P1009" s="2"/>
    </row>
    <row r="1010" spans="2:16" ht="15.75" customHeight="1" x14ac:dyDescent="0.25">
      <c r="B1010" s="2"/>
      <c r="C1010" s="2"/>
      <c r="H1010" s="25"/>
      <c r="I1010" s="24"/>
      <c r="J1010" s="2"/>
      <c r="K1010" s="2"/>
      <c r="L1010" s="2"/>
      <c r="N1010" s="24"/>
      <c r="O1010" s="2"/>
      <c r="P1010" s="2"/>
    </row>
    <row r="1011" spans="2:16" ht="15.75" customHeight="1" x14ac:dyDescent="0.25">
      <c r="B1011" s="2"/>
      <c r="C1011" s="2"/>
      <c r="H1011" s="25"/>
      <c r="I1011" s="24"/>
      <c r="J1011" s="2"/>
      <c r="K1011" s="2"/>
      <c r="L1011" s="2"/>
      <c r="N1011" s="24"/>
      <c r="O1011" s="2"/>
      <c r="P1011" s="2"/>
    </row>
    <row r="1012" spans="2:16" ht="15.75" customHeight="1" x14ac:dyDescent="0.25">
      <c r="B1012" s="2"/>
      <c r="C1012" s="2"/>
      <c r="H1012" s="25"/>
      <c r="I1012" s="24"/>
      <c r="J1012" s="2"/>
      <c r="K1012" s="2"/>
      <c r="L1012" s="2"/>
      <c r="N1012" s="24"/>
      <c r="O1012" s="2"/>
      <c r="P1012" s="2"/>
    </row>
    <row r="1013" spans="2:16" ht="15.75" customHeight="1" x14ac:dyDescent="0.25">
      <c r="B1013" s="2"/>
      <c r="C1013" s="2"/>
      <c r="H1013" s="25"/>
      <c r="I1013" s="24"/>
      <c r="J1013" s="2"/>
      <c r="K1013" s="2"/>
      <c r="L1013" s="2"/>
      <c r="N1013" s="24"/>
      <c r="O1013" s="2"/>
      <c r="P1013" s="2"/>
    </row>
    <row r="1014" spans="2:16" ht="15.75" customHeight="1" x14ac:dyDescent="0.25">
      <c r="B1014" s="2"/>
      <c r="C1014" s="2"/>
      <c r="H1014" s="25"/>
      <c r="I1014" s="24"/>
      <c r="J1014" s="2"/>
      <c r="K1014" s="2"/>
      <c r="L1014" s="2"/>
      <c r="N1014" s="24"/>
      <c r="O1014" s="2"/>
      <c r="P1014" s="2"/>
    </row>
    <row r="1015" spans="2:16" ht="15.75" customHeight="1" x14ac:dyDescent="0.25">
      <c r="B1015" s="2"/>
      <c r="C1015" s="2"/>
      <c r="H1015" s="25"/>
      <c r="I1015" s="24"/>
      <c r="J1015" s="2"/>
      <c r="K1015" s="2"/>
      <c r="L1015" s="2"/>
      <c r="N1015" s="24"/>
      <c r="O1015" s="2"/>
      <c r="P1015" s="2"/>
    </row>
    <row r="1016" spans="2:16" ht="15.75" customHeight="1" x14ac:dyDescent="0.25">
      <c r="B1016" s="2"/>
      <c r="C1016" s="2"/>
      <c r="H1016" s="25"/>
      <c r="I1016" s="24"/>
      <c r="J1016" s="2"/>
      <c r="K1016" s="2"/>
      <c r="L1016" s="2"/>
      <c r="N1016" s="24"/>
      <c r="O1016" s="2"/>
      <c r="P1016" s="2"/>
    </row>
    <row r="1017" spans="2:16" ht="15.75" customHeight="1" x14ac:dyDescent="0.25">
      <c r="B1017" s="2"/>
      <c r="C1017" s="2"/>
      <c r="H1017" s="25"/>
      <c r="I1017" s="24"/>
      <c r="J1017" s="2"/>
      <c r="K1017" s="2"/>
      <c r="L1017" s="2"/>
      <c r="N1017" s="24"/>
      <c r="O1017" s="2"/>
      <c r="P1017" s="2"/>
    </row>
    <row r="1018" spans="2:16" ht="15.75" customHeight="1" x14ac:dyDescent="0.25">
      <c r="B1018" s="2"/>
      <c r="C1018" s="2"/>
      <c r="H1018" s="25"/>
      <c r="I1018" s="24"/>
      <c r="J1018" s="2"/>
      <c r="K1018" s="2"/>
      <c r="L1018" s="2"/>
      <c r="N1018" s="24"/>
      <c r="O1018" s="2"/>
      <c r="P1018" s="2"/>
    </row>
    <row r="1019" spans="2:16" ht="15.75" customHeight="1" x14ac:dyDescent="0.25">
      <c r="B1019" s="2"/>
      <c r="C1019" s="2"/>
      <c r="H1019" s="25"/>
      <c r="I1019" s="24"/>
      <c r="J1019" s="2"/>
      <c r="K1019" s="2"/>
      <c r="L1019" s="2"/>
      <c r="N1019" s="24"/>
      <c r="O1019" s="2"/>
      <c r="P1019" s="2"/>
    </row>
    <row r="1020" spans="2:16" ht="15.75" customHeight="1" x14ac:dyDescent="0.25">
      <c r="B1020" s="2"/>
      <c r="C1020" s="2"/>
      <c r="H1020" s="25"/>
      <c r="I1020" s="24"/>
      <c r="J1020" s="2"/>
      <c r="K1020" s="2"/>
      <c r="L1020" s="2"/>
      <c r="N1020" s="24"/>
      <c r="O1020" s="2"/>
      <c r="P1020" s="2"/>
    </row>
    <row r="1021" spans="2:16" ht="15.75" customHeight="1" x14ac:dyDescent="0.25">
      <c r="B1021" s="2"/>
      <c r="C1021" s="2"/>
      <c r="H1021" s="25"/>
      <c r="I1021" s="24"/>
      <c r="J1021" s="2"/>
      <c r="K1021" s="2"/>
      <c r="L1021" s="2"/>
      <c r="N1021" s="24"/>
      <c r="O1021" s="2"/>
      <c r="P1021" s="2"/>
    </row>
    <row r="1022" spans="2:16" ht="15.75" customHeight="1" x14ac:dyDescent="0.25">
      <c r="B1022" s="2"/>
      <c r="C1022" s="2"/>
      <c r="H1022" s="25"/>
      <c r="I1022" s="24"/>
      <c r="J1022" s="2"/>
      <c r="K1022" s="2"/>
      <c r="L1022" s="2"/>
      <c r="N1022" s="24"/>
      <c r="O1022" s="2"/>
      <c r="P1022" s="2"/>
    </row>
    <row r="1023" spans="2:16" ht="15.75" customHeight="1" x14ac:dyDescent="0.25">
      <c r="B1023" s="2"/>
      <c r="C1023" s="2"/>
      <c r="H1023" s="25"/>
      <c r="I1023" s="24"/>
      <c r="J1023" s="2"/>
      <c r="K1023" s="2"/>
      <c r="L1023" s="2"/>
      <c r="N1023" s="24"/>
      <c r="O1023" s="2"/>
      <c r="P1023" s="2"/>
    </row>
    <row r="1024" spans="2:16" ht="15.75" customHeight="1" x14ac:dyDescent="0.25">
      <c r="B1024" s="2"/>
      <c r="C1024" s="2"/>
      <c r="H1024" s="25"/>
      <c r="I1024" s="24"/>
      <c r="J1024" s="2"/>
      <c r="K1024" s="2"/>
      <c r="L1024" s="2"/>
      <c r="N1024" s="24"/>
      <c r="O1024" s="2"/>
      <c r="P1024" s="2"/>
    </row>
    <row r="1025" spans="2:16" ht="15.75" customHeight="1" x14ac:dyDescent="0.25">
      <c r="B1025" s="2"/>
      <c r="C1025" s="2"/>
      <c r="H1025" s="25"/>
      <c r="I1025" s="24"/>
      <c r="J1025" s="2"/>
      <c r="K1025" s="2"/>
      <c r="L1025" s="2"/>
      <c r="N1025" s="24"/>
      <c r="O1025" s="2"/>
      <c r="P1025" s="2"/>
    </row>
    <row r="1026" spans="2:16" ht="15.75" customHeight="1" x14ac:dyDescent="0.25">
      <c r="B1026" s="2"/>
      <c r="C1026" s="2"/>
      <c r="H1026" s="25"/>
      <c r="I1026" s="24"/>
      <c r="J1026" s="2"/>
      <c r="K1026" s="2"/>
      <c r="L1026" s="2"/>
      <c r="N1026" s="24"/>
      <c r="O1026" s="2"/>
      <c r="P1026" s="2"/>
    </row>
    <row r="1027" spans="2:16" ht="15.75" customHeight="1" x14ac:dyDescent="0.25">
      <c r="B1027" s="2"/>
      <c r="C1027" s="2"/>
      <c r="H1027" s="25"/>
      <c r="I1027" s="24"/>
      <c r="J1027" s="2"/>
      <c r="K1027" s="2"/>
      <c r="L1027" s="2"/>
      <c r="N1027" s="24"/>
      <c r="O1027" s="2"/>
      <c r="P1027" s="2"/>
    </row>
    <row r="1028" spans="2:16" ht="15.75" customHeight="1" x14ac:dyDescent="0.25">
      <c r="B1028" s="2"/>
      <c r="C1028" s="2"/>
      <c r="H1028" s="25"/>
      <c r="I1028" s="24"/>
      <c r="J1028" s="2"/>
      <c r="K1028" s="2"/>
      <c r="L1028" s="2"/>
      <c r="N1028" s="24"/>
      <c r="O1028" s="2"/>
      <c r="P1028" s="2"/>
    </row>
    <row r="1029" spans="2:16" ht="15.75" customHeight="1" x14ac:dyDescent="0.25">
      <c r="B1029" s="2"/>
      <c r="C1029" s="2"/>
      <c r="H1029" s="25"/>
      <c r="I1029" s="24"/>
      <c r="J1029" s="2"/>
      <c r="K1029" s="2"/>
      <c r="L1029" s="2"/>
      <c r="N1029" s="24"/>
      <c r="O1029" s="2"/>
      <c r="P1029" s="2"/>
    </row>
    <row r="1030" spans="2:16" ht="15.75" customHeight="1" x14ac:dyDescent="0.25">
      <c r="B1030" s="2"/>
      <c r="C1030" s="2"/>
      <c r="H1030" s="25"/>
      <c r="I1030" s="24"/>
      <c r="J1030" s="2"/>
      <c r="K1030" s="2"/>
      <c r="L1030" s="2"/>
      <c r="N1030" s="24"/>
      <c r="O1030" s="2"/>
      <c r="P1030" s="2"/>
    </row>
    <row r="1031" spans="2:16" ht="15.75" customHeight="1" x14ac:dyDescent="0.25">
      <c r="B1031" s="2"/>
      <c r="C1031" s="2"/>
      <c r="H1031" s="25"/>
      <c r="I1031" s="24"/>
      <c r="J1031" s="2"/>
      <c r="K1031" s="2"/>
      <c r="L1031" s="2"/>
      <c r="N1031" s="24"/>
      <c r="O1031" s="2"/>
      <c r="P1031" s="2"/>
    </row>
    <row r="1032" spans="2:16" ht="15.75" customHeight="1" x14ac:dyDescent="0.25">
      <c r="B1032" s="2"/>
      <c r="C1032" s="2"/>
      <c r="H1032" s="25"/>
      <c r="I1032" s="24"/>
      <c r="J1032" s="2"/>
      <c r="K1032" s="2"/>
      <c r="L1032" s="2"/>
      <c r="N1032" s="24"/>
      <c r="O1032" s="2"/>
      <c r="P1032" s="2"/>
    </row>
    <row r="1033" spans="2:16" ht="15.75" customHeight="1" x14ac:dyDescent="0.25">
      <c r="B1033" s="2"/>
      <c r="C1033" s="2"/>
      <c r="H1033" s="25"/>
      <c r="I1033" s="24"/>
      <c r="J1033" s="2"/>
      <c r="K1033" s="2"/>
      <c r="L1033" s="2"/>
      <c r="N1033" s="24"/>
      <c r="O1033" s="2"/>
      <c r="P1033" s="2"/>
    </row>
    <row r="1034" spans="2:16" ht="15.75" customHeight="1" x14ac:dyDescent="0.25">
      <c r="B1034" s="2"/>
      <c r="C1034" s="2"/>
      <c r="H1034" s="25"/>
      <c r="I1034" s="24"/>
      <c r="J1034" s="2"/>
      <c r="K1034" s="2"/>
      <c r="L1034" s="2"/>
      <c r="N1034" s="24"/>
      <c r="O1034" s="2"/>
      <c r="P1034" s="2"/>
    </row>
    <row r="1035" spans="2:16" ht="15.75" customHeight="1" x14ac:dyDescent="0.25">
      <c r="B1035" s="2"/>
      <c r="C1035" s="2"/>
      <c r="H1035" s="25"/>
      <c r="I1035" s="24"/>
      <c r="J1035" s="2"/>
      <c r="K1035" s="2"/>
      <c r="L1035" s="2"/>
      <c r="N1035" s="24"/>
      <c r="O1035" s="2"/>
      <c r="P1035" s="2"/>
    </row>
  </sheetData>
  <autoFilter ref="A1:T1035" xr:uid="{B1D218B8-269C-425B-A26B-3F3C0B54D7E1}"/>
  <mergeCells count="1">
    <mergeCell ref="A83:S83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B711-C1B9-4382-9C37-96F93B584994}">
  <dimension ref="A1:BA109"/>
  <sheetViews>
    <sheetView workbookViewId="0">
      <selection activeCell="AX14" sqref="AX14"/>
    </sheetView>
  </sheetViews>
  <sheetFormatPr defaultRowHeight="15" x14ac:dyDescent="0.25"/>
  <cols>
    <col min="2" max="2" width="25.28515625" bestFit="1" customWidth="1"/>
    <col min="3" max="3" width="9.85546875" bestFit="1" customWidth="1"/>
    <col min="5" max="5" width="10.28515625" bestFit="1" customWidth="1"/>
    <col min="6" max="6" width="4.140625" style="63" customWidth="1"/>
    <col min="8" max="8" width="28" bestFit="1" customWidth="1"/>
    <col min="9" max="9" width="9.85546875" bestFit="1" customWidth="1"/>
    <col min="11" max="11" width="10.28515625" bestFit="1" customWidth="1"/>
    <col min="12" max="12" width="4.140625" style="63" customWidth="1"/>
    <col min="14" max="14" width="28" bestFit="1" customWidth="1"/>
    <col min="15" max="15" width="9.85546875" bestFit="1" customWidth="1"/>
    <col min="17" max="17" width="10.28515625" bestFit="1" customWidth="1"/>
    <col min="18" max="18" width="4.140625" style="63" customWidth="1"/>
    <col min="20" max="20" width="28" bestFit="1" customWidth="1"/>
    <col min="21" max="21" width="9.85546875" bestFit="1" customWidth="1"/>
    <col min="23" max="23" width="10.28515625" bestFit="1" customWidth="1"/>
    <col min="24" max="24" width="4.140625" style="63" customWidth="1"/>
    <col min="26" max="26" width="28" bestFit="1" customWidth="1"/>
    <col min="27" max="27" width="9.85546875" bestFit="1" customWidth="1"/>
    <col min="29" max="29" width="10.28515625" bestFit="1" customWidth="1"/>
    <col min="30" max="30" width="4.140625" style="63" customWidth="1"/>
    <col min="32" max="32" width="28" bestFit="1" customWidth="1"/>
    <col min="33" max="33" width="9.85546875" bestFit="1" customWidth="1"/>
    <col min="35" max="35" width="10.28515625" bestFit="1" customWidth="1"/>
    <col min="36" max="36" width="4.140625" style="63" customWidth="1"/>
    <col min="38" max="38" width="28" bestFit="1" customWidth="1"/>
    <col min="39" max="39" width="9.85546875" bestFit="1" customWidth="1"/>
    <col min="41" max="41" width="10.28515625" bestFit="1" customWidth="1"/>
    <col min="42" max="42" width="4.140625" style="63" customWidth="1"/>
    <col min="44" max="44" width="28" bestFit="1" customWidth="1"/>
    <col min="45" max="45" width="9.85546875" bestFit="1" customWidth="1"/>
    <col min="47" max="47" width="10.28515625" bestFit="1" customWidth="1"/>
    <col min="48" max="48" width="4.140625" style="63" customWidth="1"/>
    <col min="50" max="50" width="28" bestFit="1" customWidth="1"/>
    <col min="51" max="51" width="9.85546875" bestFit="1" customWidth="1"/>
    <col min="53" max="53" width="10.28515625" bestFit="1" customWidth="1"/>
  </cols>
  <sheetData>
    <row r="1" spans="1:53" ht="18.75" x14ac:dyDescent="0.3">
      <c r="A1" s="104" t="s">
        <v>188</v>
      </c>
      <c r="B1" s="105"/>
      <c r="C1" s="105"/>
      <c r="D1" s="105"/>
      <c r="E1" s="106"/>
      <c r="G1" s="104" t="s">
        <v>189</v>
      </c>
      <c r="H1" s="105"/>
      <c r="I1" s="105"/>
      <c r="J1" s="105"/>
      <c r="K1" s="106"/>
      <c r="M1" s="104" t="s">
        <v>156</v>
      </c>
      <c r="N1" s="105"/>
      <c r="O1" s="105"/>
      <c r="P1" s="105"/>
      <c r="Q1" s="106"/>
      <c r="S1" s="104" t="s">
        <v>84</v>
      </c>
      <c r="T1" s="105"/>
      <c r="U1" s="105"/>
      <c r="V1" s="105"/>
      <c r="W1" s="106"/>
      <c r="Y1" s="104" t="s">
        <v>81</v>
      </c>
      <c r="Z1" s="105"/>
      <c r="AA1" s="105"/>
      <c r="AB1" s="105"/>
      <c r="AC1" s="106"/>
      <c r="AE1" s="104" t="s">
        <v>209</v>
      </c>
      <c r="AF1" s="105"/>
      <c r="AG1" s="105"/>
      <c r="AH1" s="105"/>
      <c r="AI1" s="106"/>
      <c r="AK1" s="104" t="s">
        <v>399</v>
      </c>
      <c r="AL1" s="105"/>
      <c r="AM1" s="105"/>
      <c r="AN1" s="105"/>
      <c r="AO1" s="106"/>
      <c r="AQ1" s="104" t="s">
        <v>408</v>
      </c>
      <c r="AR1" s="105"/>
      <c r="AS1" s="105"/>
      <c r="AT1" s="105"/>
      <c r="AU1" s="106"/>
      <c r="AW1" s="104" t="s">
        <v>416</v>
      </c>
      <c r="AX1" s="105"/>
      <c r="AY1" s="105"/>
      <c r="AZ1" s="105"/>
      <c r="BA1" s="106"/>
    </row>
    <row r="2" spans="1:53" x14ac:dyDescent="0.25">
      <c r="A2" s="48">
        <v>8</v>
      </c>
      <c r="B2" s="82" t="s">
        <v>137</v>
      </c>
      <c r="C2" s="6" t="s">
        <v>138</v>
      </c>
      <c r="D2" s="6" t="s">
        <v>23</v>
      </c>
      <c r="E2" s="50" t="s">
        <v>139</v>
      </c>
      <c r="G2" s="48">
        <v>40</v>
      </c>
      <c r="H2" s="82" t="s">
        <v>190</v>
      </c>
      <c r="I2" s="6" t="s">
        <v>138</v>
      </c>
      <c r="J2" s="6" t="s">
        <v>23</v>
      </c>
      <c r="K2" s="50" t="s">
        <v>139</v>
      </c>
      <c r="M2" s="48">
        <v>11</v>
      </c>
      <c r="N2" s="82" t="s">
        <v>199</v>
      </c>
      <c r="O2" s="6" t="s">
        <v>138</v>
      </c>
      <c r="P2" s="6" t="s">
        <v>23</v>
      </c>
      <c r="Q2" s="50" t="s">
        <v>139</v>
      </c>
      <c r="S2" s="48">
        <v>44</v>
      </c>
      <c r="T2" s="82" t="s">
        <v>200</v>
      </c>
      <c r="U2" s="6" t="s">
        <v>138</v>
      </c>
      <c r="V2" s="6" t="s">
        <v>23</v>
      </c>
      <c r="W2" s="50" t="s">
        <v>139</v>
      </c>
      <c r="Y2" s="48">
        <v>44</v>
      </c>
      <c r="Z2" s="82" t="s">
        <v>201</v>
      </c>
      <c r="AA2" s="6" t="s">
        <v>138</v>
      </c>
      <c r="AB2" s="6" t="s">
        <v>23</v>
      </c>
      <c r="AC2" s="50" t="s">
        <v>139</v>
      </c>
      <c r="AE2" s="48">
        <v>11</v>
      </c>
      <c r="AF2" s="82" t="s">
        <v>210</v>
      </c>
      <c r="AG2" s="6" t="s">
        <v>138</v>
      </c>
      <c r="AH2" s="6" t="s">
        <v>23</v>
      </c>
      <c r="AI2" s="50" t="s">
        <v>139</v>
      </c>
      <c r="AK2" s="48">
        <v>8</v>
      </c>
      <c r="AL2" s="82" t="s">
        <v>428</v>
      </c>
      <c r="AM2" s="6" t="s">
        <v>138</v>
      </c>
      <c r="AN2" s="6" t="s">
        <v>23</v>
      </c>
      <c r="AO2" s="50" t="s">
        <v>139</v>
      </c>
      <c r="AQ2" s="48">
        <v>8</v>
      </c>
      <c r="AR2" s="82" t="s">
        <v>412</v>
      </c>
      <c r="AS2" s="6" t="s">
        <v>138</v>
      </c>
      <c r="AT2" s="6" t="s">
        <v>23</v>
      </c>
      <c r="AU2" s="50" t="s">
        <v>139</v>
      </c>
      <c r="AW2" s="48">
        <v>44</v>
      </c>
      <c r="AX2" s="82" t="s">
        <v>417</v>
      </c>
      <c r="AY2" s="6" t="s">
        <v>138</v>
      </c>
      <c r="AZ2" s="6" t="s">
        <v>23</v>
      </c>
      <c r="BA2" s="50" t="s">
        <v>139</v>
      </c>
    </row>
    <row r="3" spans="1:53" x14ac:dyDescent="0.25">
      <c r="A3" s="51" t="s">
        <v>140</v>
      </c>
      <c r="B3" s="10" t="s">
        <v>302</v>
      </c>
      <c r="C3" s="67">
        <v>0.05</v>
      </c>
      <c r="D3" s="44">
        <f>IFERROR(VLOOKUP(B3,'Cost Master List'!$B$2:$P$74,12,),0)</f>
        <v>7.3221235405648137</v>
      </c>
      <c r="E3" s="52">
        <f>+D3*C3</f>
        <v>0.36610617702824072</v>
      </c>
      <c r="G3" s="51" t="s">
        <v>140</v>
      </c>
      <c r="H3" s="10" t="s">
        <v>157</v>
      </c>
      <c r="I3" s="67">
        <v>0.375</v>
      </c>
      <c r="J3" s="44">
        <f>IFERROR(VLOOKUP(H3,'Cost Master List'!$B$2:$P$74,12,),0)</f>
        <v>7.3441227966724441</v>
      </c>
      <c r="K3" s="52">
        <f>+J3*I3</f>
        <v>2.7540460487521665</v>
      </c>
      <c r="M3" s="51" t="s">
        <v>140</v>
      </c>
      <c r="N3" s="10" t="s">
        <v>312</v>
      </c>
      <c r="O3" s="67">
        <v>0.33</v>
      </c>
      <c r="P3" s="44">
        <f>IFERROR(VLOOKUP(N3,'Cost Master List'!$B$2:$P$74,12,),0)</f>
        <v>114.11490415581825</v>
      </c>
      <c r="Q3" s="52">
        <f>+P3*O3</f>
        <v>37.657918371420024</v>
      </c>
      <c r="S3" s="51" t="s">
        <v>140</v>
      </c>
      <c r="T3" s="10" t="s">
        <v>155</v>
      </c>
      <c r="U3" s="67">
        <v>0.25</v>
      </c>
      <c r="V3" s="44">
        <f>IFERROR(VLOOKUP(T3,'Cost Master List'!$B$2:$P$74,12,),0)</f>
        <v>60.869900481715675</v>
      </c>
      <c r="W3" s="52">
        <f>+V3*U3</f>
        <v>15.217475120428919</v>
      </c>
      <c r="Y3" s="51" t="s">
        <v>140</v>
      </c>
      <c r="Z3" s="10" t="s">
        <v>203</v>
      </c>
      <c r="AA3" s="67">
        <v>0.06</v>
      </c>
      <c r="AB3" s="44">
        <f>IFERROR(VLOOKUP(Z3,'Cost Master List'!$B$2:$P$74,12,),0)</f>
        <v>51.02013045332076</v>
      </c>
      <c r="AC3" s="52">
        <f>+AB3*AA3</f>
        <v>3.0612078271992456</v>
      </c>
      <c r="AE3" s="51" t="s">
        <v>140</v>
      </c>
      <c r="AF3" s="10" t="s">
        <v>311</v>
      </c>
      <c r="AG3" s="67">
        <v>0.317</v>
      </c>
      <c r="AH3" s="44">
        <f>IFERROR(VLOOKUP(AF3,'Cost Master List'!$B$2:$P$74,12,),0)</f>
        <v>51.473723362756402</v>
      </c>
      <c r="AI3" s="52">
        <f>+AH3*AG3</f>
        <v>16.31717030599378</v>
      </c>
      <c r="AK3" s="51" t="s">
        <v>140</v>
      </c>
      <c r="AL3" s="10" t="s">
        <v>432</v>
      </c>
      <c r="AM3" s="67">
        <v>0.27500000000000002</v>
      </c>
      <c r="AN3" s="44">
        <f>IFERROR(VLOOKUP(AL3,'Cost Master List'!$B$2:$P$74,12,),0)</f>
        <v>20.815228928341391</v>
      </c>
      <c r="AO3" s="52">
        <f>+AN3*AM3</f>
        <v>5.7241879552938828</v>
      </c>
      <c r="AQ3" s="51" t="s">
        <v>140</v>
      </c>
      <c r="AR3" s="10" t="s">
        <v>410</v>
      </c>
      <c r="AS3" s="67">
        <v>0.24299999999999999</v>
      </c>
      <c r="AT3" s="44">
        <f>IFERROR(VLOOKUP(AR3,'Cost Master List'!$B$2:$P$74,12,),0)</f>
        <v>81.541490143426088</v>
      </c>
      <c r="AU3" s="52">
        <f>+AT3*AS3</f>
        <v>19.814582104852541</v>
      </c>
      <c r="AW3" s="51" t="s">
        <v>140</v>
      </c>
      <c r="AX3" s="10" t="s">
        <v>419</v>
      </c>
      <c r="AY3" s="67">
        <v>0.215</v>
      </c>
      <c r="AZ3" s="44">
        <f>IFERROR(VLOOKUP(AX3,'Cost Master List'!$B$2:$P$74,12,),0)</f>
        <v>15.404500548847421</v>
      </c>
      <c r="BA3" s="52">
        <f>+AZ3*AY3</f>
        <v>3.3119676180021957</v>
      </c>
    </row>
    <row r="4" spans="1:53" x14ac:dyDescent="0.25">
      <c r="A4" s="53" t="s">
        <v>141</v>
      </c>
      <c r="B4" s="11" t="s">
        <v>208</v>
      </c>
      <c r="C4" s="68">
        <v>0.95</v>
      </c>
      <c r="D4" s="45">
        <f>IFERROR(VLOOKUP(B4,'Cost Master List'!$B$2:$P$74,12,),0)</f>
        <v>1.1850114759006087</v>
      </c>
      <c r="E4" s="54">
        <f t="shared" ref="E4:E7" si="0">+D4*C4</f>
        <v>1.1257609021055783</v>
      </c>
      <c r="G4" s="53" t="s">
        <v>141</v>
      </c>
      <c r="H4" s="11" t="s">
        <v>324</v>
      </c>
      <c r="I4" s="68">
        <v>0.63</v>
      </c>
      <c r="J4" s="45">
        <f>IFERROR(VLOOKUP(H4,'Cost Master List'!$B$2:$P$74,12,),0)</f>
        <v>0.83914688245593361</v>
      </c>
      <c r="K4" s="54">
        <f t="shared" ref="K4:K7" si="1">+J4*I4</f>
        <v>0.52866253594723822</v>
      </c>
      <c r="M4" s="53" t="s">
        <v>141</v>
      </c>
      <c r="N4" s="11" t="s">
        <v>324</v>
      </c>
      <c r="O4" s="68">
        <v>0.67</v>
      </c>
      <c r="P4" s="45">
        <f>IFERROR(VLOOKUP(N4,'Cost Master List'!$B$2:$P$74,12,),0)</f>
        <v>0.83914688245593361</v>
      </c>
      <c r="Q4" s="54">
        <f t="shared" ref="Q4" si="2">+P4*O4</f>
        <v>0.56222841124547551</v>
      </c>
      <c r="S4" s="53" t="s">
        <v>141</v>
      </c>
      <c r="T4" s="11" t="s">
        <v>324</v>
      </c>
      <c r="U4" s="68">
        <v>0.75</v>
      </c>
      <c r="V4" s="45">
        <f>IFERROR(VLOOKUP(T4,'Cost Master List'!$B$2:$P$74,12,),0)</f>
        <v>0.83914688245593361</v>
      </c>
      <c r="W4" s="54">
        <f t="shared" ref="W4" si="3">+V4*U4</f>
        <v>0.62936016184195021</v>
      </c>
      <c r="Y4" s="53" t="s">
        <v>141</v>
      </c>
      <c r="Z4" s="11" t="s">
        <v>206</v>
      </c>
      <c r="AA4" s="68">
        <v>5.0000000000000001E-3</v>
      </c>
      <c r="AB4" s="45">
        <f>IFERROR(VLOOKUP(Z4,'Cost Master List'!$B$2:$P$74,12,),0)</f>
        <v>4.5359290943563977</v>
      </c>
      <c r="AC4" s="54">
        <f t="shared" ref="AC4" si="4">+AB4*AA4</f>
        <v>2.267964547178199E-2</v>
      </c>
      <c r="AE4" s="53" t="s">
        <v>141</v>
      </c>
      <c r="AF4" s="11" t="s">
        <v>324</v>
      </c>
      <c r="AG4" s="68">
        <v>0.68300000000000005</v>
      </c>
      <c r="AH4" s="45">
        <f>IFERROR(VLOOKUP(AF4,'Cost Master List'!$B$2:$P$74,12,),0)</f>
        <v>0.83914688245593361</v>
      </c>
      <c r="AI4" s="54">
        <f t="shared" ref="AI4" si="5">+AH4*AG4</f>
        <v>0.57313732071740264</v>
      </c>
      <c r="AK4" s="53" t="s">
        <v>141</v>
      </c>
      <c r="AL4" s="11" t="s">
        <v>198</v>
      </c>
      <c r="AM4" s="68">
        <v>0.1008</v>
      </c>
      <c r="AN4" s="45">
        <f>IFERROR(VLOOKUP(AL4,'Cost Master List'!$B$2:$P$74,12,),0)</f>
        <v>0.22679645471781987</v>
      </c>
      <c r="AO4" s="54">
        <f t="shared" ref="AO4:AO7" si="6">+AN4*AM4</f>
        <v>2.2861082635556244E-2</v>
      </c>
      <c r="AQ4" s="53" t="s">
        <v>141</v>
      </c>
      <c r="AR4" s="11" t="s">
        <v>207</v>
      </c>
      <c r="AS4" s="68">
        <v>0.2</v>
      </c>
      <c r="AT4" s="45">
        <f>IFERROR(VLOOKUP(AR4,'Cost Master List'!$B$2:$P$74,12,),0)</f>
        <v>4.5359290943563977</v>
      </c>
      <c r="AU4" s="54">
        <f t="shared" ref="AU4:AU7" si="7">+AT4*AS4</f>
        <v>0.90718581887127958</v>
      </c>
      <c r="AW4" s="53" t="s">
        <v>141</v>
      </c>
      <c r="AX4" s="11" t="s">
        <v>198</v>
      </c>
      <c r="AY4" s="68">
        <v>0.77100000000000002</v>
      </c>
      <c r="AZ4" s="45">
        <f>IFERROR(VLOOKUP(AX4,'Cost Master List'!$B$2:$P$74,12,),0)</f>
        <v>0.22679645471781987</v>
      </c>
      <c r="BA4" s="54">
        <f t="shared" ref="BA4:BA7" si="8">+AZ4*AY4</f>
        <v>0.17486006658743913</v>
      </c>
    </row>
    <row r="5" spans="1:53" x14ac:dyDescent="0.25">
      <c r="A5" s="53" t="s">
        <v>142</v>
      </c>
      <c r="B5" s="11"/>
      <c r="C5" s="68"/>
      <c r="D5" s="45">
        <f>IFERROR(VLOOKUP(B5,'Cost Master List'!$B$2:$P$74,12,),0)</f>
        <v>0</v>
      </c>
      <c r="E5" s="54">
        <f t="shared" si="0"/>
        <v>0</v>
      </c>
      <c r="G5" s="53" t="s">
        <v>142</v>
      </c>
      <c r="H5" s="11"/>
      <c r="I5" s="68"/>
      <c r="J5" s="45">
        <f>IFERROR(VLOOKUP(H5,'Cost Master List'!$B$2:$P$74,12,),0)</f>
        <v>0</v>
      </c>
      <c r="K5" s="54">
        <f>+J5*I5</f>
        <v>0</v>
      </c>
      <c r="M5" s="53" t="s">
        <v>142</v>
      </c>
      <c r="N5" s="11"/>
      <c r="O5" s="68"/>
      <c r="P5" s="45">
        <f>IFERROR(VLOOKUP(N5,'Cost Master List'!$B$2:$P$74,12,),0)</f>
        <v>0</v>
      </c>
      <c r="Q5" s="54">
        <f>+P5*O5</f>
        <v>0</v>
      </c>
      <c r="S5" s="53" t="s">
        <v>142</v>
      </c>
      <c r="T5" s="11"/>
      <c r="U5" s="68"/>
      <c r="V5" s="45">
        <f>IFERROR(VLOOKUP(T5,'Cost Master List'!$B$2:$P$74,12,),0)</f>
        <v>0</v>
      </c>
      <c r="W5" s="54">
        <f>+V5*U5</f>
        <v>0</v>
      </c>
      <c r="Y5" s="53" t="s">
        <v>142</v>
      </c>
      <c r="Z5" s="11" t="s">
        <v>207</v>
      </c>
      <c r="AA5" s="68">
        <v>0.20469999999999999</v>
      </c>
      <c r="AB5" s="45">
        <f>IFERROR(VLOOKUP(Z5,'Cost Master List'!$B$2:$P$74,12,),0)</f>
        <v>4.5359290943563977</v>
      </c>
      <c r="AC5" s="54">
        <f>+AB5*AA5</f>
        <v>0.92850468561475452</v>
      </c>
      <c r="AE5" s="53" t="s">
        <v>142</v>
      </c>
      <c r="AF5" s="11"/>
      <c r="AG5" s="68"/>
      <c r="AH5" s="45">
        <f>IFERROR(VLOOKUP(AF5,'Cost Master List'!$B$2:$P$74,12,),0)</f>
        <v>0</v>
      </c>
      <c r="AI5" s="54">
        <f>+AH5*AG5</f>
        <v>0</v>
      </c>
      <c r="AK5" s="53" t="s">
        <v>142</v>
      </c>
      <c r="AL5" s="11" t="s">
        <v>206</v>
      </c>
      <c r="AM5" s="68">
        <v>3.0000000000000001E-3</v>
      </c>
      <c r="AN5" s="45">
        <f>IFERROR(VLOOKUP(AL5,'Cost Master List'!$B$2:$P$74,12,),0)</f>
        <v>4.5359290943563977</v>
      </c>
      <c r="AO5" s="54">
        <f t="shared" si="6"/>
        <v>1.3607787283069193E-2</v>
      </c>
      <c r="AQ5" s="53" t="s">
        <v>142</v>
      </c>
      <c r="AR5" s="11" t="s">
        <v>198</v>
      </c>
      <c r="AS5" s="68">
        <v>0.55300000000000005</v>
      </c>
      <c r="AT5" s="45">
        <f>IFERROR(VLOOKUP(AR5,'Cost Master List'!$B$2:$P$74,12,),0)</f>
        <v>0.22679645471781987</v>
      </c>
      <c r="AU5" s="54">
        <f t="shared" si="7"/>
        <v>0.12541843945895439</v>
      </c>
      <c r="AW5" s="53" t="s">
        <v>142</v>
      </c>
      <c r="AX5" s="11" t="s">
        <v>422</v>
      </c>
      <c r="AY5" s="68">
        <v>1.2999999999999999E-3</v>
      </c>
      <c r="AZ5" s="45">
        <f>IFERROR(VLOOKUP(AX5,'Cost Master List'!$B$2:$P$74,12,),0)</f>
        <v>2.0184884469885969</v>
      </c>
      <c r="BA5" s="54">
        <f t="shared" si="8"/>
        <v>2.6240349810851757E-3</v>
      </c>
    </row>
    <row r="6" spans="1:53" x14ac:dyDescent="0.25">
      <c r="A6" s="53" t="s">
        <v>143</v>
      </c>
      <c r="B6" s="11"/>
      <c r="C6" s="68"/>
      <c r="D6" s="45">
        <f>IFERROR(VLOOKUP(B6,'Cost Master List'!$B$2:$P$74,12,),0)</f>
        <v>0</v>
      </c>
      <c r="E6" s="54">
        <f t="shared" si="0"/>
        <v>0</v>
      </c>
      <c r="G6" s="53" t="s">
        <v>143</v>
      </c>
      <c r="H6" s="11"/>
      <c r="I6" s="68"/>
      <c r="J6" s="45">
        <f>IFERROR(VLOOKUP(H6,'Cost Master List'!$B$2:$P$74,12,),0)</f>
        <v>0</v>
      </c>
      <c r="K6" s="54">
        <f t="shared" si="1"/>
        <v>0</v>
      </c>
      <c r="M6" s="53" t="s">
        <v>143</v>
      </c>
      <c r="N6" s="11"/>
      <c r="O6" s="68"/>
      <c r="P6" s="45">
        <f>IFERROR(VLOOKUP(N6,'Cost Master List'!$B$2:$P$74,12,),0)</f>
        <v>0</v>
      </c>
      <c r="Q6" s="54">
        <f t="shared" ref="Q6:Q7" si="9">+P6*O6</f>
        <v>0</v>
      </c>
      <c r="S6" s="53" t="s">
        <v>143</v>
      </c>
      <c r="T6" s="11"/>
      <c r="U6" s="68"/>
      <c r="V6" s="45">
        <f>IFERROR(VLOOKUP(T6,'Cost Master List'!$B$2:$P$74,12,),0)</f>
        <v>0</v>
      </c>
      <c r="W6" s="54">
        <f t="shared" ref="W6:W7" si="10">+V6*U6</f>
        <v>0</v>
      </c>
      <c r="Y6" s="53" t="s">
        <v>143</v>
      </c>
      <c r="Z6" s="11" t="s">
        <v>198</v>
      </c>
      <c r="AA6" s="68">
        <v>0.73029999999999995</v>
      </c>
      <c r="AB6" s="45">
        <f>IFERROR(VLOOKUP(Z6,'Cost Master List'!$B$2:$P$74,12,),0)</f>
        <v>0.22679645471781987</v>
      </c>
      <c r="AC6" s="54">
        <f t="shared" ref="AC6:AC7" si="11">+AB6*AA6</f>
        <v>0.16562945088042383</v>
      </c>
      <c r="AE6" s="53" t="s">
        <v>143</v>
      </c>
      <c r="AF6" s="11"/>
      <c r="AG6" s="68"/>
      <c r="AH6" s="45">
        <f>IFERROR(VLOOKUP(AF6,'Cost Master List'!$B$2:$P$74,12,),0)</f>
        <v>0</v>
      </c>
      <c r="AI6" s="54">
        <f t="shared" ref="AI6:AI7" si="12">+AH6*AG6</f>
        <v>0</v>
      </c>
      <c r="AK6" s="53" t="s">
        <v>143</v>
      </c>
      <c r="AL6" s="11" t="s">
        <v>422</v>
      </c>
      <c r="AM6" s="68">
        <v>2E-3</v>
      </c>
      <c r="AN6" s="45">
        <f>IFERROR(VLOOKUP(AL6,'Cost Master List'!$B$2:$P$74,12,),0)</f>
        <v>2.0184884469885969</v>
      </c>
      <c r="AO6" s="54">
        <f t="shared" si="6"/>
        <v>4.0369768939771938E-3</v>
      </c>
      <c r="AQ6" s="53" t="s">
        <v>143</v>
      </c>
      <c r="AR6" s="11" t="s">
        <v>206</v>
      </c>
      <c r="AS6" s="68">
        <v>4.0000000000000001E-3</v>
      </c>
      <c r="AT6" s="45">
        <f>IFERROR(VLOOKUP(AR6,'Cost Master List'!$B$2:$P$74,12,),0)</f>
        <v>4.5359290943563977</v>
      </c>
      <c r="AU6" s="54">
        <f t="shared" si="7"/>
        <v>1.8143716377425591E-2</v>
      </c>
      <c r="AW6" s="53" t="s">
        <v>143</v>
      </c>
      <c r="AX6" s="11" t="s">
        <v>423</v>
      </c>
      <c r="AY6" s="68">
        <v>0.01</v>
      </c>
      <c r="AZ6" s="45">
        <f>IFERROR(VLOOKUP(AX6,'Cost Master List'!$B$2:$P$74,12,),0)</f>
        <v>1.8052997795538461</v>
      </c>
      <c r="BA6" s="54">
        <f t="shared" si="8"/>
        <v>1.8052997795538463E-2</v>
      </c>
    </row>
    <row r="7" spans="1:53" x14ac:dyDescent="0.25">
      <c r="A7" s="55" t="s">
        <v>144</v>
      </c>
      <c r="B7" s="11"/>
      <c r="C7" s="68"/>
      <c r="D7" s="46">
        <f>IFERROR(VLOOKUP(B7,'Cost Master List'!$B$2:$P$74,12,),0)</f>
        <v>0</v>
      </c>
      <c r="E7" s="56">
        <f t="shared" si="0"/>
        <v>0</v>
      </c>
      <c r="G7" s="55" t="s">
        <v>144</v>
      </c>
      <c r="H7" s="11"/>
      <c r="I7" s="69"/>
      <c r="J7" s="46">
        <f>IFERROR(VLOOKUP(H7,'Cost Master List'!$B$2:$P$74,12,),0)</f>
        <v>0</v>
      </c>
      <c r="K7" s="56">
        <f t="shared" si="1"/>
        <v>0</v>
      </c>
      <c r="M7" s="55" t="s">
        <v>144</v>
      </c>
      <c r="N7" s="11"/>
      <c r="O7" s="69"/>
      <c r="P7" s="46">
        <f>IFERROR(VLOOKUP(N7,'Cost Master List'!$B$2:$P$74,12,),0)</f>
        <v>0</v>
      </c>
      <c r="Q7" s="56">
        <f t="shared" si="9"/>
        <v>0</v>
      </c>
      <c r="S7" s="55" t="s">
        <v>144</v>
      </c>
      <c r="T7" s="11"/>
      <c r="U7" s="69"/>
      <c r="V7" s="46">
        <f>IFERROR(VLOOKUP(T7,'Cost Master List'!$B$2:$P$74,12,),0)</f>
        <v>0</v>
      </c>
      <c r="W7" s="56">
        <f t="shared" si="10"/>
        <v>0</v>
      </c>
      <c r="Y7" s="55" t="s">
        <v>144</v>
      </c>
      <c r="Z7" s="11"/>
      <c r="AA7" s="69"/>
      <c r="AB7" s="46">
        <f>IFERROR(VLOOKUP(Z7,'Cost Master List'!$B$2:$P$74,12,),0)</f>
        <v>0</v>
      </c>
      <c r="AC7" s="56">
        <f t="shared" si="11"/>
        <v>0</v>
      </c>
      <c r="AE7" s="55" t="s">
        <v>144</v>
      </c>
      <c r="AF7" s="11"/>
      <c r="AG7" s="69"/>
      <c r="AH7" s="46">
        <f>IFERROR(VLOOKUP(AF7,'Cost Master List'!$B$2:$P$74,12,),0)</f>
        <v>0</v>
      </c>
      <c r="AI7" s="56">
        <f t="shared" si="12"/>
        <v>0</v>
      </c>
      <c r="AK7" s="55" t="s">
        <v>144</v>
      </c>
      <c r="AL7" s="11" t="s">
        <v>430</v>
      </c>
      <c r="AM7" s="69">
        <v>0.61919999999999997</v>
      </c>
      <c r="AN7" s="46">
        <f>IFERROR(VLOOKUP(AL7,'Cost Master List'!$B$2:$P$74,12,),0)</f>
        <v>1.8143716377425589</v>
      </c>
      <c r="AO7" s="56">
        <f t="shared" si="6"/>
        <v>1.1234589180901924</v>
      </c>
      <c r="AQ7" s="55" t="s">
        <v>144</v>
      </c>
      <c r="AR7" s="11"/>
      <c r="AS7" s="69"/>
      <c r="AT7" s="46">
        <f>IFERROR(VLOOKUP(AR7,'Cost Master List'!$B$2:$P$74,12,),0)</f>
        <v>0</v>
      </c>
      <c r="AU7" s="56">
        <f t="shared" si="7"/>
        <v>0</v>
      </c>
      <c r="AW7" s="55" t="s">
        <v>144</v>
      </c>
      <c r="AX7" s="11"/>
      <c r="AY7" s="69"/>
      <c r="AZ7" s="46">
        <f>IFERROR(VLOOKUP(AX7,'Cost Master List'!$B$2:$P$74,12,),0)</f>
        <v>0</v>
      </c>
      <c r="BA7" s="56">
        <f t="shared" si="8"/>
        <v>0</v>
      </c>
    </row>
    <row r="8" spans="1:53" x14ac:dyDescent="0.25">
      <c r="A8" s="51" t="s">
        <v>145</v>
      </c>
      <c r="B8" s="10" t="s">
        <v>186</v>
      </c>
      <c r="C8" s="8"/>
      <c r="D8" s="45">
        <f>IFERROR(VLOOKUP('Manufactured Items Models'!B8,'Cost Master List'!$B$84:$L$98,11,FALSE),0)</f>
        <v>1.6</v>
      </c>
      <c r="E8" s="54">
        <f>+D8/$A$2</f>
        <v>0.2</v>
      </c>
      <c r="G8" s="51" t="s">
        <v>145</v>
      </c>
      <c r="H8" s="10" t="s">
        <v>170</v>
      </c>
      <c r="I8" s="8"/>
      <c r="J8" s="45">
        <f>IFERROR(VLOOKUP('Manufactured Items Models'!H8,'Cost Master List'!$B$84:$L$98,11,FALSE),0)</f>
        <v>2.4699999999999998</v>
      </c>
      <c r="K8" s="54">
        <f>+J8/$G$2</f>
        <v>6.1749999999999992E-2</v>
      </c>
      <c r="M8" s="51" t="s">
        <v>145</v>
      </c>
      <c r="N8" s="10" t="s">
        <v>171</v>
      </c>
      <c r="O8" s="8"/>
      <c r="P8" s="45">
        <f>IFERROR(VLOOKUP('Manufactured Items Models'!N8,'Cost Master List'!$B$84:$L$98,11,FALSE),0)</f>
        <v>1.92</v>
      </c>
      <c r="Q8" s="54">
        <f>+P8/$M$2</f>
        <v>0.17454545454545453</v>
      </c>
      <c r="S8" s="51" t="s">
        <v>145</v>
      </c>
      <c r="T8" s="10" t="s">
        <v>170</v>
      </c>
      <c r="U8" s="8"/>
      <c r="V8" s="45">
        <f>IFERROR(VLOOKUP('Manufactured Items Models'!T8,'Cost Master List'!$B$84:$L$98,11,FALSE),0)</f>
        <v>2.4699999999999998</v>
      </c>
      <c r="W8" s="54">
        <f>+V8/$S$2</f>
        <v>5.613636363636363E-2</v>
      </c>
      <c r="Y8" s="51" t="s">
        <v>145</v>
      </c>
      <c r="Z8" s="10" t="s">
        <v>184</v>
      </c>
      <c r="AA8" s="8"/>
      <c r="AB8" s="45">
        <f>IFERROR(VLOOKUP('Manufactured Items Models'!Z8,'Cost Master List'!$B$84:$L$98,11,FALSE),0)</f>
        <v>9.68</v>
      </c>
      <c r="AC8" s="54">
        <f>+AB8/$Y$2</f>
        <v>0.22</v>
      </c>
      <c r="AE8" s="51" t="s">
        <v>145</v>
      </c>
      <c r="AF8" s="10" t="s">
        <v>171</v>
      </c>
      <c r="AG8" s="8"/>
      <c r="AH8" s="45">
        <f>IFERROR(VLOOKUP('Manufactured Items Models'!AF8,'Cost Master List'!$B$84:$L$98,11,FALSE),0)</f>
        <v>1.92</v>
      </c>
      <c r="AI8" s="54">
        <f>+AH8/$AE$2</f>
        <v>0.17454545454545453</v>
      </c>
      <c r="AK8" s="51" t="s">
        <v>145</v>
      </c>
      <c r="AL8" s="10" t="s">
        <v>184</v>
      </c>
      <c r="AM8" s="8"/>
      <c r="AN8" s="45">
        <f>IFERROR(VLOOKUP('Manufactured Items Models'!AL8,'Cost Master List'!$B$84:$L$98,11,FALSE),0)</f>
        <v>9.68</v>
      </c>
      <c r="AO8" s="54">
        <f>+AN8/$G$14</f>
        <v>0.24199999999999999</v>
      </c>
      <c r="AQ8" s="51" t="s">
        <v>145</v>
      </c>
      <c r="AR8" s="10" t="s">
        <v>186</v>
      </c>
      <c r="AS8" s="8"/>
      <c r="AT8" s="45">
        <f>IFERROR(VLOOKUP('Manufactured Items Models'!AR8,'Cost Master List'!$B$84:$L$98,11,FALSE),0)</f>
        <v>1.6</v>
      </c>
      <c r="AU8" s="54">
        <f>+AT8/$G$14</f>
        <v>0.04</v>
      </c>
      <c r="AW8" s="51" t="s">
        <v>145</v>
      </c>
      <c r="AX8" s="10" t="s">
        <v>184</v>
      </c>
      <c r="AY8" s="8"/>
      <c r="AZ8" s="45">
        <f>IFERROR(VLOOKUP('Manufactured Items Models'!AX8,'Cost Master List'!$B$84:$L$98,11,FALSE),0)</f>
        <v>9.68</v>
      </c>
      <c r="BA8" s="54">
        <f>+AZ8/$G$14</f>
        <v>0.24199999999999999</v>
      </c>
    </row>
    <row r="9" spans="1:53" x14ac:dyDescent="0.25">
      <c r="A9" s="53" t="s">
        <v>146</v>
      </c>
      <c r="B9" s="11"/>
      <c r="D9" s="45">
        <f>IFERROR(VLOOKUP('Manufactured Items Models'!B9,'Cost Master List'!$B$84:$L$98,11,FALSE),0)</f>
        <v>0</v>
      </c>
      <c r="E9" s="54">
        <f>+D9/$A$2</f>
        <v>0</v>
      </c>
      <c r="G9" s="53" t="s">
        <v>146</v>
      </c>
      <c r="H9" s="11" t="s">
        <v>181</v>
      </c>
      <c r="J9" s="45">
        <f>IFERROR(VLOOKUP('Manufactured Items Models'!H9,'Cost Master List'!$B$84:$L$98,11,FALSE),0)</f>
        <v>0.67800000000000005</v>
      </c>
      <c r="K9" s="54">
        <f t="shared" ref="K9:K10" si="13">+J9/$G$2</f>
        <v>1.695E-2</v>
      </c>
      <c r="M9" s="53" t="s">
        <v>146</v>
      </c>
      <c r="N9" s="11" t="s">
        <v>180</v>
      </c>
      <c r="P9" s="45">
        <f>IFERROR(VLOOKUP('Manufactured Items Models'!N9,'Cost Master List'!$B$84:$L$98,11,FALSE),0)</f>
        <v>0.55300000000000005</v>
      </c>
      <c r="Q9" s="54">
        <f t="shared" ref="Q9:Q10" si="14">+P9/$M$2</f>
        <v>5.0272727272727274E-2</v>
      </c>
      <c r="S9" s="53" t="s">
        <v>146</v>
      </c>
      <c r="T9" s="11" t="s">
        <v>181</v>
      </c>
      <c r="V9" s="45">
        <f>IFERROR(VLOOKUP('Manufactured Items Models'!T9,'Cost Master List'!$B$84:$L$98,11,FALSE),0)</f>
        <v>0.67800000000000005</v>
      </c>
      <c r="W9" s="54">
        <f t="shared" ref="W9:W10" si="15">+V9/$S$2</f>
        <v>1.540909090909091E-2</v>
      </c>
      <c r="Y9" s="53" t="s">
        <v>146</v>
      </c>
      <c r="Z9" s="11"/>
      <c r="AB9" s="45">
        <f>IFERROR(VLOOKUP('Manufactured Items Models'!Z9,'Cost Master List'!$B$84:$L$98,11,FALSE),0)</f>
        <v>0</v>
      </c>
      <c r="AC9" s="54">
        <f>+AB9/$Y$2</f>
        <v>0</v>
      </c>
      <c r="AE9" s="53" t="s">
        <v>146</v>
      </c>
      <c r="AF9" s="11" t="s">
        <v>180</v>
      </c>
      <c r="AH9" s="45">
        <f>IFERROR(VLOOKUP('Manufactured Items Models'!AF9,'Cost Master List'!$B$84:$L$98,11,FALSE),0)</f>
        <v>0.55300000000000005</v>
      </c>
      <c r="AI9" s="54">
        <f t="shared" ref="AI9:AI10" si="16">+AH9/$AE$2</f>
        <v>5.0272727272727274E-2</v>
      </c>
      <c r="AK9" s="53" t="s">
        <v>146</v>
      </c>
      <c r="AL9" s="11"/>
      <c r="AN9" s="45">
        <f>IFERROR(VLOOKUP('Manufactured Items Models'!AL9,'Cost Master List'!$B$84:$L$98,11,FALSE),0)</f>
        <v>0</v>
      </c>
      <c r="AO9" s="54">
        <f t="shared" ref="AO9:AO10" si="17">+AN9/$G$14</f>
        <v>0</v>
      </c>
      <c r="AQ9" s="53" t="s">
        <v>146</v>
      </c>
      <c r="AR9" s="11"/>
      <c r="AT9" s="45">
        <f>IFERROR(VLOOKUP('Manufactured Items Models'!AR9,'Cost Master List'!$B$84:$L$98,11,FALSE),0)</f>
        <v>0</v>
      </c>
      <c r="AU9" s="54">
        <f t="shared" ref="AU9:AU10" si="18">+AT9/$G$14</f>
        <v>0</v>
      </c>
      <c r="AW9" s="53" t="s">
        <v>146</v>
      </c>
      <c r="AX9" s="11"/>
      <c r="AZ9" s="45">
        <f>IFERROR(VLOOKUP('Manufactured Items Models'!AX9,'Cost Master List'!$B$84:$L$98,11,FALSE),0)</f>
        <v>0</v>
      </c>
      <c r="BA9" s="54">
        <f t="shared" ref="BA9:BA10" si="19">+AZ9/$G$14</f>
        <v>0</v>
      </c>
    </row>
    <row r="10" spans="1:53" x14ac:dyDescent="0.25">
      <c r="A10" s="55" t="s">
        <v>147</v>
      </c>
      <c r="B10" s="12"/>
      <c r="C10" s="9"/>
      <c r="D10" s="45">
        <f>IFERROR(VLOOKUP('Manufactured Items Models'!B10,'Cost Master List'!$B$84:$L$98,11,FALSE),0)</f>
        <v>0</v>
      </c>
      <c r="E10" s="54">
        <f>+D10/$A$2</f>
        <v>0</v>
      </c>
      <c r="G10" s="55" t="s">
        <v>147</v>
      </c>
      <c r="H10" s="12"/>
      <c r="I10" s="9"/>
      <c r="J10" s="45">
        <f>IFERROR(VLOOKUP('Manufactured Items Models'!H10,'Cost Master List'!$B$84:$L$98,11,FALSE),0)</f>
        <v>0</v>
      </c>
      <c r="K10" s="54">
        <f t="shared" si="13"/>
        <v>0</v>
      </c>
      <c r="M10" s="55" t="s">
        <v>147</v>
      </c>
      <c r="N10" s="12"/>
      <c r="O10" s="9"/>
      <c r="P10" s="45">
        <f>IFERROR(VLOOKUP('Manufactured Items Models'!N10,'Cost Master List'!$B$84:$L$98,11,FALSE),0)</f>
        <v>0</v>
      </c>
      <c r="Q10" s="54">
        <f t="shared" si="14"/>
        <v>0</v>
      </c>
      <c r="S10" s="55" t="s">
        <v>147</v>
      </c>
      <c r="T10" s="12"/>
      <c r="U10" s="9"/>
      <c r="V10" s="45">
        <f>IFERROR(VLOOKUP('Manufactured Items Models'!T10,'Cost Master List'!$B$84:$L$98,11,FALSE),0)</f>
        <v>0</v>
      </c>
      <c r="W10" s="54">
        <f t="shared" si="15"/>
        <v>0</v>
      </c>
      <c r="Y10" s="55" t="s">
        <v>147</v>
      </c>
      <c r="Z10" s="12"/>
      <c r="AA10" s="9"/>
      <c r="AB10" s="45">
        <f>IFERROR(VLOOKUP('Manufactured Items Models'!Z10,'Cost Master List'!$B$84:$L$98,11,FALSE),0)</f>
        <v>0</v>
      </c>
      <c r="AC10" s="54">
        <f t="shared" ref="AC10" si="20">+AB10/$Y$2</f>
        <v>0</v>
      </c>
      <c r="AE10" s="55" t="s">
        <v>147</v>
      </c>
      <c r="AF10" s="12"/>
      <c r="AG10" s="9"/>
      <c r="AH10" s="45">
        <f>IFERROR(VLOOKUP('Manufactured Items Models'!AF10,'Cost Master List'!$B$84:$L$98,11,FALSE),0)</f>
        <v>0</v>
      </c>
      <c r="AI10" s="54">
        <f t="shared" si="16"/>
        <v>0</v>
      </c>
      <c r="AK10" s="55" t="s">
        <v>147</v>
      </c>
      <c r="AL10" s="12"/>
      <c r="AM10" s="9"/>
      <c r="AN10" s="45">
        <f>IFERROR(VLOOKUP('Manufactured Items Models'!AL10,'Cost Master List'!$B$84:$L$98,11,FALSE),0)</f>
        <v>0</v>
      </c>
      <c r="AO10" s="54">
        <f t="shared" si="17"/>
        <v>0</v>
      </c>
      <c r="AQ10" s="55" t="s">
        <v>147</v>
      </c>
      <c r="AR10" s="12"/>
      <c r="AS10" s="9"/>
      <c r="AT10" s="45">
        <f>IFERROR(VLOOKUP('Manufactured Items Models'!AR10,'Cost Master List'!$B$84:$L$98,11,FALSE),0)</f>
        <v>0</v>
      </c>
      <c r="AU10" s="54">
        <f t="shared" si="18"/>
        <v>0</v>
      </c>
      <c r="AW10" s="55" t="s">
        <v>147</v>
      </c>
      <c r="AX10" s="12"/>
      <c r="AY10" s="9"/>
      <c r="AZ10" s="45">
        <f>IFERROR(VLOOKUP('Manufactured Items Models'!AX10,'Cost Master List'!$B$84:$L$98,11,FALSE),0)</f>
        <v>0</v>
      </c>
      <c r="BA10" s="54">
        <f t="shared" si="19"/>
        <v>0</v>
      </c>
    </row>
    <row r="11" spans="1:53" x14ac:dyDescent="0.25">
      <c r="A11" s="57" t="s">
        <v>148</v>
      </c>
      <c r="B11" s="47"/>
      <c r="C11" s="47"/>
      <c r="D11" s="47"/>
      <c r="E11" s="58">
        <v>0.25</v>
      </c>
      <c r="G11" s="57" t="s">
        <v>148</v>
      </c>
      <c r="H11" s="47"/>
      <c r="I11" s="47"/>
      <c r="J11" s="47"/>
      <c r="K11" s="58">
        <v>1</v>
      </c>
      <c r="M11" s="57" t="s">
        <v>148</v>
      </c>
      <c r="N11" s="47"/>
      <c r="O11" s="47"/>
      <c r="P11" s="47"/>
      <c r="Q11" s="58">
        <v>1</v>
      </c>
      <c r="S11" s="57" t="s">
        <v>148</v>
      </c>
      <c r="T11" s="47"/>
      <c r="U11" s="47"/>
      <c r="V11" s="47"/>
      <c r="W11" s="58">
        <v>1</v>
      </c>
      <c r="Y11" s="57" t="s">
        <v>148</v>
      </c>
      <c r="Z11" s="47"/>
      <c r="AA11" s="47"/>
      <c r="AB11" s="47"/>
      <c r="AC11" s="58">
        <v>1</v>
      </c>
      <c r="AE11" s="57" t="s">
        <v>148</v>
      </c>
      <c r="AF11" s="47"/>
      <c r="AG11" s="47"/>
      <c r="AH11" s="47"/>
      <c r="AI11" s="58">
        <v>1</v>
      </c>
      <c r="AK11" s="57" t="s">
        <v>148</v>
      </c>
      <c r="AL11" s="47"/>
      <c r="AM11" s="47"/>
      <c r="AN11" s="47"/>
      <c r="AO11" s="58">
        <v>1</v>
      </c>
      <c r="AQ11" s="57" t="s">
        <v>148</v>
      </c>
      <c r="AR11" s="47"/>
      <c r="AS11" s="47"/>
      <c r="AT11" s="47"/>
      <c r="AU11" s="58">
        <v>1</v>
      </c>
      <c r="AW11" s="57" t="s">
        <v>148</v>
      </c>
      <c r="AX11" s="47"/>
      <c r="AY11" s="47"/>
      <c r="AZ11" s="47"/>
      <c r="BA11" s="58">
        <v>1</v>
      </c>
    </row>
    <row r="12" spans="1:53" x14ac:dyDescent="0.25">
      <c r="A12" s="57"/>
      <c r="B12" s="83" t="s">
        <v>326</v>
      </c>
      <c r="C12" s="47"/>
      <c r="D12" s="47" t="s">
        <v>185</v>
      </c>
      <c r="E12" s="59">
        <f>+SUM(E3:E11)</f>
        <v>1.9418670791338191</v>
      </c>
      <c r="G12" s="57"/>
      <c r="H12" s="83" t="s">
        <v>337</v>
      </c>
      <c r="I12" s="47"/>
      <c r="J12" s="47" t="s">
        <v>185</v>
      </c>
      <c r="K12" s="59">
        <f>+SUM(K3:K11)</f>
        <v>4.3614085846994044</v>
      </c>
      <c r="M12" s="57"/>
      <c r="N12" s="83" t="s">
        <v>340</v>
      </c>
      <c r="O12" s="47"/>
      <c r="P12" s="47" t="s">
        <v>185</v>
      </c>
      <c r="Q12" s="59">
        <f>+SUM(Q3:Q11)</f>
        <v>39.444964964483681</v>
      </c>
      <c r="S12" s="57"/>
      <c r="T12" s="83" t="s">
        <v>341</v>
      </c>
      <c r="U12" s="47"/>
      <c r="V12" s="47" t="s">
        <v>185</v>
      </c>
      <c r="W12" s="59">
        <f>+SUM(W3:W11)</f>
        <v>16.918380736816324</v>
      </c>
      <c r="Y12" s="57"/>
      <c r="Z12" s="83" t="s">
        <v>342</v>
      </c>
      <c r="AA12" s="47"/>
      <c r="AB12" s="47" t="s">
        <v>185</v>
      </c>
      <c r="AC12" s="59">
        <f>+SUM(AC3:AC11)</f>
        <v>5.3980216091662054</v>
      </c>
      <c r="AE12" s="57"/>
      <c r="AF12" s="83" t="s">
        <v>343</v>
      </c>
      <c r="AG12" s="47"/>
      <c r="AH12" s="47" t="s">
        <v>185</v>
      </c>
      <c r="AI12" s="59">
        <f>+SUM(AI3:AI11)</f>
        <v>18.115125808529367</v>
      </c>
      <c r="AK12" s="57"/>
      <c r="AL12" s="83" t="s">
        <v>437</v>
      </c>
      <c r="AM12" s="47"/>
      <c r="AN12" s="47" t="s">
        <v>185</v>
      </c>
      <c r="AO12" s="59">
        <f>+SUM(AO3:AO11)</f>
        <v>8.1301527201966781</v>
      </c>
      <c r="AQ12" s="57"/>
      <c r="AR12" s="83" t="s">
        <v>411</v>
      </c>
      <c r="AS12" s="47"/>
      <c r="AT12" s="47" t="s">
        <v>185</v>
      </c>
      <c r="AU12" s="59">
        <f>+SUM(AU3:AU11)</f>
        <v>21.905330079560201</v>
      </c>
      <c r="AW12" s="57"/>
      <c r="AX12" s="47" t="s">
        <v>424</v>
      </c>
      <c r="AY12" s="47"/>
      <c r="AZ12" s="47" t="s">
        <v>185</v>
      </c>
      <c r="BA12" s="59">
        <f>+SUM(BA3:BA11)</f>
        <v>4.7495047173662588</v>
      </c>
    </row>
    <row r="13" spans="1:53" s="63" customFormat="1" x14ac:dyDescent="0.25">
      <c r="A13" s="64"/>
      <c r="E13" s="65"/>
      <c r="G13" s="64"/>
      <c r="K13" s="65"/>
      <c r="M13" s="64"/>
      <c r="Q13" s="65"/>
      <c r="S13" s="64"/>
      <c r="W13" s="65"/>
      <c r="Y13" s="64"/>
      <c r="AC13" s="65"/>
      <c r="AE13" s="64"/>
      <c r="AI13" s="65"/>
      <c r="AK13" s="64"/>
      <c r="AO13" s="65"/>
      <c r="AQ13" s="64"/>
      <c r="AU13" s="65"/>
      <c r="AW13" s="64"/>
      <c r="BA13" s="65"/>
    </row>
    <row r="14" spans="1:53" x14ac:dyDescent="0.25">
      <c r="A14" s="48">
        <v>40</v>
      </c>
      <c r="B14" s="82" t="s">
        <v>137</v>
      </c>
      <c r="C14" s="6" t="s">
        <v>138</v>
      </c>
      <c r="D14" s="6" t="s">
        <v>23</v>
      </c>
      <c r="E14" s="50" t="s">
        <v>139</v>
      </c>
      <c r="G14" s="48">
        <v>40</v>
      </c>
      <c r="H14" s="82" t="s">
        <v>193</v>
      </c>
      <c r="I14" s="6" t="s">
        <v>138</v>
      </c>
      <c r="J14" s="6" t="s">
        <v>23</v>
      </c>
      <c r="K14" s="50" t="s">
        <v>139</v>
      </c>
      <c r="M14" s="48"/>
      <c r="N14" s="82"/>
      <c r="O14" s="6" t="s">
        <v>138</v>
      </c>
      <c r="P14" s="6" t="s">
        <v>23</v>
      </c>
      <c r="Q14" s="50" t="s">
        <v>139</v>
      </c>
      <c r="S14" s="48"/>
      <c r="T14" s="82"/>
      <c r="U14" s="6" t="s">
        <v>138</v>
      </c>
      <c r="V14" s="6" t="s">
        <v>23</v>
      </c>
      <c r="W14" s="50" t="s">
        <v>139</v>
      </c>
      <c r="Y14" s="48"/>
      <c r="Z14" s="82"/>
      <c r="AA14" s="6" t="s">
        <v>138</v>
      </c>
      <c r="AB14" s="6" t="s">
        <v>23</v>
      </c>
      <c r="AC14" s="50" t="s">
        <v>139</v>
      </c>
      <c r="AE14" s="48">
        <v>44</v>
      </c>
      <c r="AF14" s="49" t="s">
        <v>211</v>
      </c>
      <c r="AG14" s="6" t="s">
        <v>138</v>
      </c>
      <c r="AH14" s="6" t="s">
        <v>23</v>
      </c>
      <c r="AI14" s="50" t="s">
        <v>139</v>
      </c>
      <c r="AK14" s="48">
        <v>44</v>
      </c>
      <c r="AL14" s="82" t="s">
        <v>403</v>
      </c>
      <c r="AM14" s="6" t="s">
        <v>138</v>
      </c>
      <c r="AN14" s="6" t="s">
        <v>23</v>
      </c>
      <c r="AO14" s="50" t="s">
        <v>139</v>
      </c>
      <c r="AQ14" s="48"/>
      <c r="AR14" s="82"/>
      <c r="AS14" s="6" t="s">
        <v>138</v>
      </c>
      <c r="AT14" s="6" t="s">
        <v>23</v>
      </c>
      <c r="AU14" s="50" t="s">
        <v>139</v>
      </c>
      <c r="AW14" s="48"/>
      <c r="AX14" s="82"/>
      <c r="AY14" s="6" t="s">
        <v>138</v>
      </c>
      <c r="AZ14" s="6" t="s">
        <v>23</v>
      </c>
      <c r="BA14" s="50" t="s">
        <v>139</v>
      </c>
    </row>
    <row r="15" spans="1:53" x14ac:dyDescent="0.25">
      <c r="A15" s="51" t="s">
        <v>140</v>
      </c>
      <c r="B15" s="10" t="s">
        <v>302</v>
      </c>
      <c r="C15" s="67">
        <v>0.05</v>
      </c>
      <c r="D15" s="44">
        <f>IFERROR(VLOOKUP(B15,'Cost Master List'!$B$2:$P$74,12,),0)</f>
        <v>7.3221235405648137</v>
      </c>
      <c r="E15" s="52">
        <f>+D15*C15</f>
        <v>0.36610617702824072</v>
      </c>
      <c r="G15" s="51" t="s">
        <v>140</v>
      </c>
      <c r="H15" s="10" t="s">
        <v>157</v>
      </c>
      <c r="I15" s="67">
        <v>0.625</v>
      </c>
      <c r="J15" s="44">
        <f>IFERROR(VLOOKUP(H15,'Cost Master List'!$B$2:$P$74,12,),0)</f>
        <v>7.3441227966724441</v>
      </c>
      <c r="K15" s="52">
        <f>+J15*I15</f>
        <v>4.5900767479202775</v>
      </c>
      <c r="M15" s="51" t="s">
        <v>140</v>
      </c>
      <c r="N15" s="10"/>
      <c r="O15" s="67"/>
      <c r="P15" s="44">
        <f>IFERROR(VLOOKUP(N15,'Cost Master List'!$B$2:$P$74,12,),0)</f>
        <v>0</v>
      </c>
      <c r="Q15" s="52">
        <f>+P15*O15</f>
        <v>0</v>
      </c>
      <c r="S15" s="51" t="s">
        <v>140</v>
      </c>
      <c r="T15" s="10"/>
      <c r="U15" s="67"/>
      <c r="V15" s="44">
        <f>IFERROR(VLOOKUP(T15,'Cost Master List'!$B$2:$P$74,12,),0)</f>
        <v>0</v>
      </c>
      <c r="W15" s="52">
        <f>+V15*U15</f>
        <v>0</v>
      </c>
      <c r="Y15" s="51" t="s">
        <v>140</v>
      </c>
      <c r="Z15" s="10"/>
      <c r="AA15" s="67"/>
      <c r="AB15" s="44">
        <f>IFERROR(VLOOKUP(Z15,'Cost Master List'!$B$2:$P$74,12,),0)</f>
        <v>0</v>
      </c>
      <c r="AC15" s="52">
        <f>+AB15*AA15</f>
        <v>0</v>
      </c>
      <c r="AE15" s="51" t="s">
        <v>140</v>
      </c>
      <c r="AF15" s="10" t="s">
        <v>311</v>
      </c>
      <c r="AG15" s="67">
        <v>0.25</v>
      </c>
      <c r="AH15" s="44">
        <f>IFERROR(VLOOKUP(AF15,'Cost Master List'!$B$2:$P$74,12,),0)</f>
        <v>51.473723362756402</v>
      </c>
      <c r="AI15" s="52">
        <f>+AH15*AG15</f>
        <v>12.868430840689101</v>
      </c>
      <c r="AK15" s="51" t="s">
        <v>140</v>
      </c>
      <c r="AL15" s="10" t="s">
        <v>305</v>
      </c>
      <c r="AM15" s="67">
        <v>0.3</v>
      </c>
      <c r="AN15" s="44">
        <f>IFERROR(VLOOKUP(AL15,'Cost Master List'!$B$2:$P$74,12,),0)</f>
        <v>5.9091816276727958</v>
      </c>
      <c r="AO15" s="52">
        <f>+AN15*AM15</f>
        <v>1.7727544883018387</v>
      </c>
      <c r="AQ15" s="51" t="s">
        <v>140</v>
      </c>
      <c r="AR15" s="10"/>
      <c r="AS15" s="67"/>
      <c r="AT15" s="44">
        <f>IFERROR(VLOOKUP(AR15,'Cost Master List'!$B$2:$P$74,12,),0)</f>
        <v>0</v>
      </c>
      <c r="AU15" s="52">
        <f>+AT15*AS15</f>
        <v>0</v>
      </c>
      <c r="AW15" s="51" t="s">
        <v>140</v>
      </c>
      <c r="AX15" s="10"/>
      <c r="AY15" s="67"/>
      <c r="AZ15" s="44">
        <f>IFERROR(VLOOKUP(AX15,'Cost Master List'!$B$2:$P$74,12,),0)</f>
        <v>0</v>
      </c>
      <c r="BA15" s="52">
        <f>+AZ15*AY15</f>
        <v>0</v>
      </c>
    </row>
    <row r="16" spans="1:53" x14ac:dyDescent="0.25">
      <c r="A16" s="53" t="s">
        <v>141</v>
      </c>
      <c r="B16" s="11" t="s">
        <v>208</v>
      </c>
      <c r="C16" s="68">
        <v>0.95</v>
      </c>
      <c r="D16" s="45">
        <f>IFERROR(VLOOKUP(B16,'Cost Master List'!$B$2:$P$74,12,),0)</f>
        <v>1.1850114759006087</v>
      </c>
      <c r="E16" s="54">
        <f t="shared" ref="E16:E19" si="21">+D16*C16</f>
        <v>1.1257609021055783</v>
      </c>
      <c r="G16" s="53" t="s">
        <v>141</v>
      </c>
      <c r="H16" s="11" t="s">
        <v>324</v>
      </c>
      <c r="I16" s="68">
        <v>0.375</v>
      </c>
      <c r="J16" s="45">
        <f>IFERROR(VLOOKUP(H16,'Cost Master List'!$B$2:$P$74,12,),0)</f>
        <v>0.83914688245593361</v>
      </c>
      <c r="K16" s="54">
        <f t="shared" ref="K16:K19" si="22">+J16*I16</f>
        <v>0.3146800809209751</v>
      </c>
      <c r="M16" s="53" t="s">
        <v>141</v>
      </c>
      <c r="N16" s="11"/>
      <c r="O16" s="68"/>
      <c r="P16" s="45">
        <f>IFERROR(VLOOKUP(N16,'Cost Master List'!$B$2:$P$74,12,),0)</f>
        <v>0</v>
      </c>
      <c r="Q16" s="54">
        <f t="shared" ref="Q16:Q19" si="23">+P16*O16</f>
        <v>0</v>
      </c>
      <c r="S16" s="53" t="s">
        <v>141</v>
      </c>
      <c r="T16" s="11"/>
      <c r="U16" s="68"/>
      <c r="V16" s="45">
        <f>IFERROR(VLOOKUP(T16,'Cost Master List'!$B$2:$P$74,12,),0)</f>
        <v>0</v>
      </c>
      <c r="W16" s="54">
        <f t="shared" ref="W16:W19" si="24">+V16*U16</f>
        <v>0</v>
      </c>
      <c r="Y16" s="53" t="s">
        <v>141</v>
      </c>
      <c r="Z16" s="11"/>
      <c r="AA16" s="68"/>
      <c r="AB16" s="45">
        <f>IFERROR(VLOOKUP(Z16,'Cost Master List'!$B$2:$P$74,12,),0)</f>
        <v>0</v>
      </c>
      <c r="AC16" s="54">
        <f t="shared" ref="AC16:AC19" si="25">+AB16*AA16</f>
        <v>0</v>
      </c>
      <c r="AE16" s="53" t="s">
        <v>141</v>
      </c>
      <c r="AF16" s="11" t="s">
        <v>213</v>
      </c>
      <c r="AG16" s="68">
        <v>0.55000000000000004</v>
      </c>
      <c r="AH16" s="45">
        <f>IFERROR(VLOOKUP(AF16,'Cost Master List'!$B$2:$P$74,12,),0)</f>
        <v>4.5359290943563977</v>
      </c>
      <c r="AI16" s="54">
        <f t="shared" ref="AI16" si="26">+AH16*AG16</f>
        <v>2.4947610018960189</v>
      </c>
      <c r="AK16" s="53" t="s">
        <v>141</v>
      </c>
      <c r="AL16" s="11" t="s">
        <v>324</v>
      </c>
      <c r="AM16" s="68">
        <v>0.7</v>
      </c>
      <c r="AN16" s="45">
        <f>IFERROR(VLOOKUP(AL16,'Cost Master List'!$B$2:$P$74,12,),0)</f>
        <v>0.83914688245593361</v>
      </c>
      <c r="AO16" s="54">
        <f t="shared" ref="AO16:AO19" si="27">+AN16*AM16</f>
        <v>0.58740281771915348</v>
      </c>
      <c r="AQ16" s="53" t="s">
        <v>141</v>
      </c>
      <c r="AR16" s="11"/>
      <c r="AS16" s="68"/>
      <c r="AT16" s="45">
        <f>IFERROR(VLOOKUP(AR16,'Cost Master List'!$B$2:$P$74,12,),0)</f>
        <v>0</v>
      </c>
      <c r="AU16" s="54">
        <f t="shared" ref="AU16:AU19" si="28">+AT16*AS16</f>
        <v>0</v>
      </c>
      <c r="AW16" s="53" t="s">
        <v>141</v>
      </c>
      <c r="AX16" s="11"/>
      <c r="AY16" s="68"/>
      <c r="AZ16" s="45">
        <f>IFERROR(VLOOKUP(AX16,'Cost Master List'!$B$2:$P$74,12,),0)</f>
        <v>0</v>
      </c>
      <c r="BA16" s="54">
        <f t="shared" ref="BA16:BA19" si="29">+AZ16*AY16</f>
        <v>0</v>
      </c>
    </row>
    <row r="17" spans="1:53" x14ac:dyDescent="0.25">
      <c r="A17" s="53" t="s">
        <v>142</v>
      </c>
      <c r="B17" s="11"/>
      <c r="C17" s="68"/>
      <c r="D17" s="45">
        <f>IFERROR(VLOOKUP(B17,'Cost Master List'!$B$2:$P$74,12,),0)</f>
        <v>0</v>
      </c>
      <c r="E17" s="54">
        <f t="shared" si="21"/>
        <v>0</v>
      </c>
      <c r="G17" s="53" t="s">
        <v>142</v>
      </c>
      <c r="H17" s="11"/>
      <c r="I17" s="68"/>
      <c r="J17" s="45">
        <f>IFERROR(VLOOKUP(H17,'Cost Master List'!$B$2:$P$74,12,),0)</f>
        <v>0</v>
      </c>
      <c r="K17" s="54">
        <f t="shared" si="22"/>
        <v>0</v>
      </c>
      <c r="M17" s="53" t="s">
        <v>142</v>
      </c>
      <c r="N17" s="11"/>
      <c r="O17" s="68"/>
      <c r="P17" s="45">
        <f>IFERROR(VLOOKUP(N17,'Cost Master List'!$B$2:$P$74,12,),0)</f>
        <v>0</v>
      </c>
      <c r="Q17" s="54">
        <f t="shared" si="23"/>
        <v>0</v>
      </c>
      <c r="S17" s="53" t="s">
        <v>142</v>
      </c>
      <c r="T17" s="11"/>
      <c r="U17" s="68"/>
      <c r="V17" s="45">
        <f>IFERROR(VLOOKUP(T17,'Cost Master List'!$B$2:$P$74,12,),0)</f>
        <v>0</v>
      </c>
      <c r="W17" s="54">
        <f t="shared" si="24"/>
        <v>0</v>
      </c>
      <c r="Y17" s="53" t="s">
        <v>142</v>
      </c>
      <c r="Z17" s="11"/>
      <c r="AA17" s="68"/>
      <c r="AB17" s="45">
        <f>IFERROR(VLOOKUP(Z17,'Cost Master List'!$B$2:$P$74,12,),0)</f>
        <v>0</v>
      </c>
      <c r="AC17" s="54">
        <f t="shared" si="25"/>
        <v>0</v>
      </c>
      <c r="AE17" s="53" t="s">
        <v>142</v>
      </c>
      <c r="AF17" s="11" t="s">
        <v>198</v>
      </c>
      <c r="AG17" s="68">
        <v>0.2</v>
      </c>
      <c r="AH17" s="45">
        <f>IFERROR(VLOOKUP(AF17,'Cost Master List'!$B$2:$P$74,12,),0)</f>
        <v>0.22679645471781987</v>
      </c>
      <c r="AI17" s="54">
        <f>+AH17*AG17</f>
        <v>4.5359290943563974E-2</v>
      </c>
      <c r="AK17" s="53" t="s">
        <v>142</v>
      </c>
      <c r="AL17" s="11"/>
      <c r="AM17" s="68"/>
      <c r="AN17" s="45">
        <f>IFERROR(VLOOKUP(AL17,'Cost Master List'!$B$2:$P$74,12,),0)</f>
        <v>0</v>
      </c>
      <c r="AO17" s="54">
        <f t="shared" si="27"/>
        <v>0</v>
      </c>
      <c r="AQ17" s="53" t="s">
        <v>142</v>
      </c>
      <c r="AR17" s="11"/>
      <c r="AS17" s="68"/>
      <c r="AT17" s="45">
        <f>IFERROR(VLOOKUP(AR17,'Cost Master List'!$B$2:$P$74,12,),0)</f>
        <v>0</v>
      </c>
      <c r="AU17" s="54">
        <f t="shared" si="28"/>
        <v>0</v>
      </c>
      <c r="AW17" s="53" t="s">
        <v>142</v>
      </c>
      <c r="AX17" s="11"/>
      <c r="AY17" s="68"/>
      <c r="AZ17" s="45">
        <f>IFERROR(VLOOKUP(AX17,'Cost Master List'!$B$2:$P$74,12,),0)</f>
        <v>0</v>
      </c>
      <c r="BA17" s="54">
        <f t="shared" si="29"/>
        <v>0</v>
      </c>
    </row>
    <row r="18" spans="1:53" x14ac:dyDescent="0.25">
      <c r="A18" s="53" t="s">
        <v>143</v>
      </c>
      <c r="B18" s="11"/>
      <c r="C18" s="68"/>
      <c r="D18" s="45">
        <f>IFERROR(VLOOKUP(B18,'Cost Master List'!$B$2:$P$74,12,),0)</f>
        <v>0</v>
      </c>
      <c r="E18" s="54">
        <f t="shared" si="21"/>
        <v>0</v>
      </c>
      <c r="G18" s="53" t="s">
        <v>143</v>
      </c>
      <c r="H18" s="11"/>
      <c r="I18" s="68"/>
      <c r="J18" s="45">
        <f>IFERROR(VLOOKUP(H18,'Cost Master List'!$B$2:$P$74,12,),0)</f>
        <v>0</v>
      </c>
      <c r="K18" s="54">
        <f t="shared" si="22"/>
        <v>0</v>
      </c>
      <c r="M18" s="53" t="s">
        <v>143</v>
      </c>
      <c r="N18" s="11"/>
      <c r="O18" s="68"/>
      <c r="P18" s="45">
        <f>IFERROR(VLOOKUP(N18,'Cost Master List'!$B$2:$P$74,12,),0)</f>
        <v>0</v>
      </c>
      <c r="Q18" s="54">
        <f t="shared" si="23"/>
        <v>0</v>
      </c>
      <c r="S18" s="53" t="s">
        <v>143</v>
      </c>
      <c r="T18" s="11"/>
      <c r="U18" s="68"/>
      <c r="V18" s="45">
        <f>IFERROR(VLOOKUP(T18,'Cost Master List'!$B$2:$P$74,12,),0)</f>
        <v>0</v>
      </c>
      <c r="W18" s="54">
        <f t="shared" si="24"/>
        <v>0</v>
      </c>
      <c r="Y18" s="53" t="s">
        <v>143</v>
      </c>
      <c r="Z18" s="11"/>
      <c r="AA18" s="68"/>
      <c r="AB18" s="45">
        <f>IFERROR(VLOOKUP(Z18,'Cost Master List'!$B$2:$P$74,12,),0)</f>
        <v>0</v>
      </c>
      <c r="AC18" s="54">
        <f t="shared" si="25"/>
        <v>0</v>
      </c>
      <c r="AE18" s="53" t="s">
        <v>143</v>
      </c>
      <c r="AF18" s="11"/>
      <c r="AG18" s="68"/>
      <c r="AH18" s="45">
        <f>IFERROR(VLOOKUP(AF18,'Cost Master List'!$B$2:$P$74,12,),0)</f>
        <v>0</v>
      </c>
      <c r="AI18" s="54">
        <f t="shared" ref="AI18:AI19" si="30">+AH18*AG18</f>
        <v>0</v>
      </c>
      <c r="AK18" s="53" t="s">
        <v>143</v>
      </c>
      <c r="AL18" s="11"/>
      <c r="AM18" s="68"/>
      <c r="AN18" s="45">
        <f>IFERROR(VLOOKUP(AL18,'Cost Master List'!$B$2:$P$74,12,),0)</f>
        <v>0</v>
      </c>
      <c r="AO18" s="54">
        <f t="shared" si="27"/>
        <v>0</v>
      </c>
      <c r="AQ18" s="53" t="s">
        <v>143</v>
      </c>
      <c r="AR18" s="11"/>
      <c r="AS18" s="68"/>
      <c r="AT18" s="45">
        <f>IFERROR(VLOOKUP(AR18,'Cost Master List'!$B$2:$P$74,12,),0)</f>
        <v>0</v>
      </c>
      <c r="AU18" s="54">
        <f t="shared" si="28"/>
        <v>0</v>
      </c>
      <c r="AW18" s="53" t="s">
        <v>143</v>
      </c>
      <c r="AX18" s="11"/>
      <c r="AY18" s="68"/>
      <c r="AZ18" s="45">
        <f>IFERROR(VLOOKUP(AX18,'Cost Master List'!$B$2:$P$74,12,),0)</f>
        <v>0</v>
      </c>
      <c r="BA18" s="54">
        <f t="shared" si="29"/>
        <v>0</v>
      </c>
    </row>
    <row r="19" spans="1:53" x14ac:dyDescent="0.25">
      <c r="A19" s="55" t="s">
        <v>144</v>
      </c>
      <c r="B19" s="11"/>
      <c r="C19" s="69"/>
      <c r="D19" s="46">
        <f>IFERROR(VLOOKUP(B19,'Cost Master List'!$B$2:$P$74,12,),0)</f>
        <v>0</v>
      </c>
      <c r="E19" s="56">
        <f t="shared" si="21"/>
        <v>0</v>
      </c>
      <c r="G19" s="55" t="s">
        <v>144</v>
      </c>
      <c r="H19" s="11"/>
      <c r="I19" s="69"/>
      <c r="J19" s="46">
        <f>IFERROR(VLOOKUP(H19,'Cost Master List'!$B$2:$P$74,12,),0)</f>
        <v>0</v>
      </c>
      <c r="K19" s="56">
        <f t="shared" si="22"/>
        <v>0</v>
      </c>
      <c r="M19" s="55" t="s">
        <v>144</v>
      </c>
      <c r="N19" s="11"/>
      <c r="O19" s="69"/>
      <c r="P19" s="46">
        <f>IFERROR(VLOOKUP(N19,'Cost Master List'!$B$2:$P$74,12,),0)</f>
        <v>0</v>
      </c>
      <c r="Q19" s="56">
        <f t="shared" si="23"/>
        <v>0</v>
      </c>
      <c r="S19" s="55" t="s">
        <v>144</v>
      </c>
      <c r="T19" s="11"/>
      <c r="U19" s="69"/>
      <c r="V19" s="46">
        <f>IFERROR(VLOOKUP(T19,'Cost Master List'!$B$2:$P$74,12,),0)</f>
        <v>0</v>
      </c>
      <c r="W19" s="56">
        <f t="shared" si="24"/>
        <v>0</v>
      </c>
      <c r="Y19" s="55" t="s">
        <v>144</v>
      </c>
      <c r="Z19" s="11"/>
      <c r="AA19" s="69"/>
      <c r="AB19" s="46">
        <f>IFERROR(VLOOKUP(Z19,'Cost Master List'!$B$2:$P$74,12,),0)</f>
        <v>0</v>
      </c>
      <c r="AC19" s="56">
        <f t="shared" si="25"/>
        <v>0</v>
      </c>
      <c r="AE19" s="55" t="s">
        <v>144</v>
      </c>
      <c r="AF19" s="11"/>
      <c r="AG19" s="69"/>
      <c r="AH19" s="46">
        <f>IFERROR(VLOOKUP(AF19,'Cost Master List'!$B$2:$P$74,12,),0)</f>
        <v>0</v>
      </c>
      <c r="AI19" s="56">
        <f t="shared" si="30"/>
        <v>0</v>
      </c>
      <c r="AK19" s="55" t="s">
        <v>144</v>
      </c>
      <c r="AL19" s="11"/>
      <c r="AM19" s="69"/>
      <c r="AN19" s="46">
        <f>IFERROR(VLOOKUP(AL19,'Cost Master List'!$B$2:$P$74,12,),0)</f>
        <v>0</v>
      </c>
      <c r="AO19" s="56">
        <f t="shared" si="27"/>
        <v>0</v>
      </c>
      <c r="AQ19" s="55" t="s">
        <v>144</v>
      </c>
      <c r="AR19" s="11"/>
      <c r="AS19" s="69"/>
      <c r="AT19" s="46">
        <f>IFERROR(VLOOKUP(AR19,'Cost Master List'!$B$2:$P$74,12,),0)</f>
        <v>0</v>
      </c>
      <c r="AU19" s="56">
        <f t="shared" si="28"/>
        <v>0</v>
      </c>
      <c r="AW19" s="55" t="s">
        <v>144</v>
      </c>
      <c r="AX19" s="11"/>
      <c r="AY19" s="69"/>
      <c r="AZ19" s="46">
        <f>IFERROR(VLOOKUP(AX19,'Cost Master List'!$B$2:$P$74,12,),0)</f>
        <v>0</v>
      </c>
      <c r="BA19" s="56">
        <f t="shared" si="29"/>
        <v>0</v>
      </c>
    </row>
    <row r="20" spans="1:53" x14ac:dyDescent="0.25">
      <c r="A20" s="51" t="s">
        <v>145</v>
      </c>
      <c r="B20" s="10" t="s">
        <v>184</v>
      </c>
      <c r="C20" s="8"/>
      <c r="D20" s="45">
        <f>IFERROR(VLOOKUP('Manufactured Items Models'!B20,'Cost Master List'!$B$84:$L$98,11,FALSE),0)</f>
        <v>9.68</v>
      </c>
      <c r="E20" s="54">
        <f>+D20/$A$14</f>
        <v>0.24199999999999999</v>
      </c>
      <c r="G20" s="51" t="s">
        <v>145</v>
      </c>
      <c r="H20" s="10" t="s">
        <v>170</v>
      </c>
      <c r="I20" s="8"/>
      <c r="J20" s="45">
        <f>IFERROR(VLOOKUP('Manufactured Items Models'!H20,'Cost Master List'!$B$84:$L$98,11,FALSE),0)</f>
        <v>2.4699999999999998</v>
      </c>
      <c r="K20" s="54">
        <f>+J20/$G$14</f>
        <v>6.1749999999999992E-2</v>
      </c>
      <c r="M20" s="51" t="s">
        <v>145</v>
      </c>
      <c r="N20" s="10"/>
      <c r="O20" s="8"/>
      <c r="P20" s="45">
        <f>IFERROR(VLOOKUP('Manufactured Items Models'!N20,'Cost Master List'!$B$84:$L$98,11,FALSE),0)</f>
        <v>0</v>
      </c>
      <c r="Q20" s="54">
        <f>+P20/$G$14</f>
        <v>0</v>
      </c>
      <c r="S20" s="51" t="s">
        <v>145</v>
      </c>
      <c r="T20" s="10"/>
      <c r="U20" s="8"/>
      <c r="V20" s="45">
        <f>IFERROR(VLOOKUP('Manufactured Items Models'!T20,'Cost Master List'!$B$84:$L$98,11,FALSE),0)</f>
        <v>0</v>
      </c>
      <c r="W20" s="54">
        <f>+V20/$G$14</f>
        <v>0</v>
      </c>
      <c r="Y20" s="51" t="s">
        <v>145</v>
      </c>
      <c r="Z20" s="10"/>
      <c r="AA20" s="8"/>
      <c r="AB20" s="45">
        <f>IFERROR(VLOOKUP('Manufactured Items Models'!Z20,'Cost Master List'!$B$84:$L$98,11,FALSE),0)</f>
        <v>0</v>
      </c>
      <c r="AC20" s="54">
        <f>+AB20/$G$14</f>
        <v>0</v>
      </c>
      <c r="AE20" s="51" t="s">
        <v>145</v>
      </c>
      <c r="AF20" s="10" t="s">
        <v>184</v>
      </c>
      <c r="AG20" s="8"/>
      <c r="AH20" s="45">
        <f>IFERROR(VLOOKUP('Manufactured Items Models'!AF20,'Cost Master List'!$B$84:$L$98,11,FALSE),0)</f>
        <v>9.68</v>
      </c>
      <c r="AI20" s="54">
        <f>+AH20/$AE$14</f>
        <v>0.22</v>
      </c>
      <c r="AK20" s="51" t="s">
        <v>145</v>
      </c>
      <c r="AL20" s="10" t="s">
        <v>171</v>
      </c>
      <c r="AM20" s="8"/>
      <c r="AN20" s="45">
        <f>IFERROR(VLOOKUP('Manufactured Items Models'!AL20,'Cost Master List'!$B$84:$L$98,11,FALSE),0)</f>
        <v>1.92</v>
      </c>
      <c r="AO20" s="54">
        <f>+AN20/$G$14</f>
        <v>4.8000000000000001E-2</v>
      </c>
      <c r="AQ20" s="51" t="s">
        <v>145</v>
      </c>
      <c r="AR20" s="10"/>
      <c r="AS20" s="8"/>
      <c r="AT20" s="45">
        <f>IFERROR(VLOOKUP('Manufactured Items Models'!AR20,'Cost Master List'!$B$84:$L$98,11,FALSE),0)</f>
        <v>0</v>
      </c>
      <c r="AU20" s="54">
        <f>+AT20/$G$14</f>
        <v>0</v>
      </c>
      <c r="AW20" s="51" t="s">
        <v>145</v>
      </c>
      <c r="AX20" s="10"/>
      <c r="AY20" s="8"/>
      <c r="AZ20" s="45">
        <f>IFERROR(VLOOKUP('Manufactured Items Models'!AX20,'Cost Master List'!$B$84:$L$98,11,FALSE),0)</f>
        <v>0</v>
      </c>
      <c r="BA20" s="54">
        <f>+AZ20/$G$14</f>
        <v>0</v>
      </c>
    </row>
    <row r="21" spans="1:53" x14ac:dyDescent="0.25">
      <c r="A21" s="53" t="s">
        <v>146</v>
      </c>
      <c r="B21" s="11"/>
      <c r="D21" s="45">
        <f>IFERROR(VLOOKUP('Manufactured Items Models'!B21,'Cost Master List'!$B$84:$L$98,11,FALSE),0)</f>
        <v>0</v>
      </c>
      <c r="E21" s="54">
        <f t="shared" ref="E21:E22" si="31">+D21/$A$14</f>
        <v>0</v>
      </c>
      <c r="G21" s="53" t="s">
        <v>146</v>
      </c>
      <c r="H21" s="11" t="s">
        <v>181</v>
      </c>
      <c r="J21" s="45">
        <f>IFERROR(VLOOKUP('Manufactured Items Models'!H21,'Cost Master List'!$B$84:$L$98,11,FALSE),0)</f>
        <v>0.67800000000000005</v>
      </c>
      <c r="K21" s="54">
        <f t="shared" ref="K21:K22" si="32">+J21/$G$14</f>
        <v>1.695E-2</v>
      </c>
      <c r="M21" s="53" t="s">
        <v>146</v>
      </c>
      <c r="N21" s="11"/>
      <c r="P21" s="45">
        <f>IFERROR(VLOOKUP('Manufactured Items Models'!N21,'Cost Master List'!$B$84:$L$98,11,FALSE),0)</f>
        <v>0</v>
      </c>
      <c r="Q21" s="54">
        <f t="shared" ref="Q21:Q22" si="33">+P21/$G$14</f>
        <v>0</v>
      </c>
      <c r="S21" s="53" t="s">
        <v>146</v>
      </c>
      <c r="T21" s="11"/>
      <c r="V21" s="45">
        <f>IFERROR(VLOOKUP('Manufactured Items Models'!T21,'Cost Master List'!$B$84:$L$98,11,FALSE),0)</f>
        <v>0</v>
      </c>
      <c r="W21" s="54">
        <f t="shared" ref="W21:W22" si="34">+V21/$G$14</f>
        <v>0</v>
      </c>
      <c r="Y21" s="53" t="s">
        <v>146</v>
      </c>
      <c r="Z21" s="11"/>
      <c r="AB21" s="45">
        <f>IFERROR(VLOOKUP('Manufactured Items Models'!Z21,'Cost Master List'!$B$84:$L$98,11,FALSE),0)</f>
        <v>0</v>
      </c>
      <c r="AC21" s="54">
        <f t="shared" ref="AC21:AC22" si="35">+AB21/$G$14</f>
        <v>0</v>
      </c>
      <c r="AE21" s="53" t="s">
        <v>146</v>
      </c>
      <c r="AF21" s="11"/>
      <c r="AH21" s="45">
        <f>IFERROR(VLOOKUP('Manufactured Items Models'!AF21,'Cost Master List'!$B$84:$L$98,11,FALSE),0)</f>
        <v>0</v>
      </c>
      <c r="AI21" s="54">
        <f>+AH21/$AE$14</f>
        <v>0</v>
      </c>
      <c r="AK21" s="53" t="s">
        <v>146</v>
      </c>
      <c r="AL21" s="11" t="s">
        <v>180</v>
      </c>
      <c r="AN21" s="45">
        <f>IFERROR(VLOOKUP('Manufactured Items Models'!AL21,'Cost Master List'!$B$84:$L$98,11,FALSE),0)</f>
        <v>0.55300000000000005</v>
      </c>
      <c r="AO21" s="54">
        <f t="shared" ref="AO21:AO22" si="36">+AN21/$G$14</f>
        <v>1.3825E-2</v>
      </c>
      <c r="AQ21" s="53" t="s">
        <v>146</v>
      </c>
      <c r="AR21" s="11"/>
      <c r="AT21" s="45">
        <f>IFERROR(VLOOKUP('Manufactured Items Models'!AR21,'Cost Master List'!$B$84:$L$98,11,FALSE),0)</f>
        <v>0</v>
      </c>
      <c r="AU21" s="54">
        <f t="shared" ref="AU21:AU22" si="37">+AT21/$G$14</f>
        <v>0</v>
      </c>
      <c r="AW21" s="53" t="s">
        <v>146</v>
      </c>
      <c r="AX21" s="11"/>
      <c r="AZ21" s="45">
        <f>IFERROR(VLOOKUP('Manufactured Items Models'!AX21,'Cost Master List'!$B$84:$L$98,11,FALSE),0)</f>
        <v>0</v>
      </c>
      <c r="BA21" s="54">
        <f t="shared" ref="BA21:BA22" si="38">+AZ21/$G$14</f>
        <v>0</v>
      </c>
    </row>
    <row r="22" spans="1:53" x14ac:dyDescent="0.25">
      <c r="A22" s="55" t="s">
        <v>147</v>
      </c>
      <c r="B22" s="12"/>
      <c r="C22" s="9"/>
      <c r="D22" s="45">
        <f>IFERROR(VLOOKUP('Manufactured Items Models'!B22,'Cost Master List'!$B$84:$L$98,11,FALSE),0)</f>
        <v>0</v>
      </c>
      <c r="E22" s="54">
        <f t="shared" si="31"/>
        <v>0</v>
      </c>
      <c r="G22" s="55" t="s">
        <v>147</v>
      </c>
      <c r="H22" s="12"/>
      <c r="I22" s="9"/>
      <c r="J22" s="45">
        <f>IFERROR(VLOOKUP('Manufactured Items Models'!H22,'Cost Master List'!$B$84:$L$98,11,FALSE),0)</f>
        <v>0</v>
      </c>
      <c r="K22" s="54">
        <f t="shared" si="32"/>
        <v>0</v>
      </c>
      <c r="M22" s="55" t="s">
        <v>147</v>
      </c>
      <c r="N22" s="12"/>
      <c r="O22" s="9"/>
      <c r="P22" s="45">
        <f>IFERROR(VLOOKUP('Manufactured Items Models'!N22,'Cost Master List'!$B$84:$L$98,11,FALSE),0)</f>
        <v>0</v>
      </c>
      <c r="Q22" s="54">
        <f t="shared" si="33"/>
        <v>0</v>
      </c>
      <c r="S22" s="55" t="s">
        <v>147</v>
      </c>
      <c r="T22" s="12"/>
      <c r="U22" s="9"/>
      <c r="V22" s="45">
        <f>IFERROR(VLOOKUP('Manufactured Items Models'!T22,'Cost Master List'!$B$84:$L$98,11,FALSE),0)</f>
        <v>0</v>
      </c>
      <c r="W22" s="54">
        <f t="shared" si="34"/>
        <v>0</v>
      </c>
      <c r="Y22" s="55" t="s">
        <v>147</v>
      </c>
      <c r="Z22" s="12"/>
      <c r="AA22" s="9"/>
      <c r="AB22" s="45">
        <f>IFERROR(VLOOKUP('Manufactured Items Models'!Z22,'Cost Master List'!$B$84:$L$98,11,FALSE),0)</f>
        <v>0</v>
      </c>
      <c r="AC22" s="54">
        <f t="shared" si="35"/>
        <v>0</v>
      </c>
      <c r="AE22" s="55" t="s">
        <v>147</v>
      </c>
      <c r="AF22" s="12"/>
      <c r="AG22" s="9"/>
      <c r="AH22" s="45">
        <f>IFERROR(VLOOKUP('Manufactured Items Models'!AF22,'Cost Master List'!$B$84:$L$98,11,FALSE),0)</f>
        <v>0</v>
      </c>
      <c r="AI22" s="54">
        <f t="shared" ref="AI22" si="39">+AH22/$AE$14</f>
        <v>0</v>
      </c>
      <c r="AK22" s="55" t="s">
        <v>147</v>
      </c>
      <c r="AL22" s="12"/>
      <c r="AM22" s="9"/>
      <c r="AN22" s="45">
        <f>IFERROR(VLOOKUP('Manufactured Items Models'!AL22,'Cost Master List'!$B$84:$L$98,11,FALSE),0)</f>
        <v>0</v>
      </c>
      <c r="AO22" s="54">
        <f t="shared" si="36"/>
        <v>0</v>
      </c>
      <c r="AQ22" s="55" t="s">
        <v>147</v>
      </c>
      <c r="AR22" s="12"/>
      <c r="AS22" s="9"/>
      <c r="AT22" s="45">
        <f>IFERROR(VLOOKUP('Manufactured Items Models'!AR22,'Cost Master List'!$B$84:$L$98,11,FALSE),0)</f>
        <v>0</v>
      </c>
      <c r="AU22" s="54">
        <f t="shared" si="37"/>
        <v>0</v>
      </c>
      <c r="AW22" s="55" t="s">
        <v>147</v>
      </c>
      <c r="AX22" s="12"/>
      <c r="AY22" s="9"/>
      <c r="AZ22" s="45">
        <f>IFERROR(VLOOKUP('Manufactured Items Models'!AX22,'Cost Master List'!$B$84:$L$98,11,FALSE),0)</f>
        <v>0</v>
      </c>
      <c r="BA22" s="54">
        <f t="shared" si="38"/>
        <v>0</v>
      </c>
    </row>
    <row r="23" spans="1:53" x14ac:dyDescent="0.25">
      <c r="A23" s="57" t="s">
        <v>148</v>
      </c>
      <c r="B23" s="47"/>
      <c r="C23" s="47"/>
      <c r="D23" s="47"/>
      <c r="E23" s="58">
        <v>0.25</v>
      </c>
      <c r="G23" s="57" t="s">
        <v>148</v>
      </c>
      <c r="H23" s="47"/>
      <c r="I23" s="47"/>
      <c r="J23" s="47"/>
      <c r="K23" s="58">
        <v>1</v>
      </c>
      <c r="M23" s="57" t="s">
        <v>148</v>
      </c>
      <c r="N23" s="47"/>
      <c r="O23" s="47"/>
      <c r="P23" s="47"/>
      <c r="Q23" s="58">
        <v>1</v>
      </c>
      <c r="S23" s="57" t="s">
        <v>148</v>
      </c>
      <c r="T23" s="47"/>
      <c r="U23" s="47"/>
      <c r="V23" s="47"/>
      <c r="W23" s="58">
        <v>1</v>
      </c>
      <c r="Y23" s="57" t="s">
        <v>148</v>
      </c>
      <c r="Z23" s="47"/>
      <c r="AA23" s="47"/>
      <c r="AB23" s="47"/>
      <c r="AC23" s="58">
        <v>1</v>
      </c>
      <c r="AE23" s="57" t="s">
        <v>148</v>
      </c>
      <c r="AF23" s="47"/>
      <c r="AG23" s="47"/>
      <c r="AH23" s="47"/>
      <c r="AI23" s="58">
        <v>1</v>
      </c>
      <c r="AK23" s="57" t="s">
        <v>148</v>
      </c>
      <c r="AL23" s="47"/>
      <c r="AM23" s="47"/>
      <c r="AN23" s="47"/>
      <c r="AO23" s="58">
        <v>1</v>
      </c>
      <c r="AQ23" s="57" t="s">
        <v>148</v>
      </c>
      <c r="AR23" s="47"/>
      <c r="AS23" s="47"/>
      <c r="AT23" s="47"/>
      <c r="AU23" s="58">
        <v>1</v>
      </c>
      <c r="AW23" s="57" t="s">
        <v>148</v>
      </c>
      <c r="AX23" s="47"/>
      <c r="AY23" s="47"/>
      <c r="AZ23" s="47"/>
      <c r="BA23" s="58">
        <v>1</v>
      </c>
    </row>
    <row r="24" spans="1:53" ht="15.75" thickBot="1" x14ac:dyDescent="0.3">
      <c r="A24" s="60"/>
      <c r="B24" s="84" t="s">
        <v>327</v>
      </c>
      <c r="C24" s="61"/>
      <c r="D24" s="61" t="s">
        <v>185</v>
      </c>
      <c r="E24" s="62">
        <f>+SUM(E15:E23)</f>
        <v>1.9838670791338191</v>
      </c>
      <c r="G24" s="60"/>
      <c r="H24" s="84" t="s">
        <v>338</v>
      </c>
      <c r="I24" s="61"/>
      <c r="J24" s="61" t="s">
        <v>185</v>
      </c>
      <c r="K24" s="62">
        <f>+SUM(K15:K23)</f>
        <v>5.983456828841252</v>
      </c>
      <c r="M24" s="60"/>
      <c r="N24" s="84"/>
      <c r="O24" s="61"/>
      <c r="P24" s="61" t="s">
        <v>185</v>
      </c>
      <c r="Q24" s="62">
        <f>+SUM(Q15:Q23)</f>
        <v>1</v>
      </c>
      <c r="S24" s="60"/>
      <c r="T24" s="84"/>
      <c r="U24" s="61"/>
      <c r="V24" s="61" t="s">
        <v>185</v>
      </c>
      <c r="W24" s="62">
        <f>+SUM(W15:W23)</f>
        <v>1</v>
      </c>
      <c r="Y24" s="60"/>
      <c r="Z24" s="84"/>
      <c r="AA24" s="61"/>
      <c r="AB24" s="61" t="s">
        <v>185</v>
      </c>
      <c r="AC24" s="62">
        <f>+SUM(AC15:AC23)</f>
        <v>1</v>
      </c>
      <c r="AE24" s="57"/>
      <c r="AF24" s="83" t="s">
        <v>344</v>
      </c>
      <c r="AG24" s="47"/>
      <c r="AH24" s="47" t="s">
        <v>185</v>
      </c>
      <c r="AI24" s="59">
        <f>+SUM(AI15:AI23)</f>
        <v>16.628551133528685</v>
      </c>
      <c r="AK24" s="57"/>
      <c r="AL24" s="83" t="s">
        <v>404</v>
      </c>
      <c r="AM24" s="47"/>
      <c r="AN24" s="47" t="s">
        <v>185</v>
      </c>
      <c r="AO24" s="59">
        <f>+SUM(AO15:AO23)</f>
        <v>3.4219823060209924</v>
      </c>
      <c r="AQ24" s="57"/>
      <c r="AR24" s="47"/>
      <c r="AS24" s="47"/>
      <c r="AT24" s="47" t="s">
        <v>185</v>
      </c>
      <c r="AU24" s="59">
        <f>+SUM(AU15:AU23)</f>
        <v>1</v>
      </c>
      <c r="AW24" s="57"/>
      <c r="AX24" s="47"/>
      <c r="AY24" s="47"/>
      <c r="AZ24" s="47" t="s">
        <v>185</v>
      </c>
      <c r="BA24" s="59">
        <f>+SUM(BA15:BA23)</f>
        <v>1</v>
      </c>
    </row>
    <row r="25" spans="1:53" s="63" customFormat="1" x14ac:dyDescent="0.25">
      <c r="A25" s="64"/>
      <c r="E25" s="65"/>
      <c r="K25" s="66"/>
      <c r="Q25" s="66"/>
      <c r="S25" s="64"/>
      <c r="W25" s="65"/>
      <c r="Y25" s="64"/>
      <c r="AC25" s="65"/>
      <c r="AI25" s="66"/>
      <c r="AO25" s="66"/>
      <c r="AU25" s="66"/>
      <c r="BA25" s="66"/>
    </row>
    <row r="26" spans="1:53" x14ac:dyDescent="0.25">
      <c r="A26" s="48">
        <v>40</v>
      </c>
      <c r="B26" s="82" t="s">
        <v>36</v>
      </c>
      <c r="C26" s="6" t="s">
        <v>138</v>
      </c>
      <c r="D26" s="6" t="s">
        <v>23</v>
      </c>
      <c r="E26" s="50" t="s">
        <v>139</v>
      </c>
      <c r="G26" s="48">
        <v>40</v>
      </c>
      <c r="H26" s="82" t="s">
        <v>192</v>
      </c>
      <c r="I26" s="6" t="s">
        <v>138</v>
      </c>
      <c r="J26" s="6" t="s">
        <v>23</v>
      </c>
      <c r="K26" s="50" t="s">
        <v>139</v>
      </c>
      <c r="M26" s="48"/>
      <c r="N26" s="82"/>
      <c r="O26" s="6" t="s">
        <v>138</v>
      </c>
      <c r="P26" s="6" t="s">
        <v>23</v>
      </c>
      <c r="Q26" s="50" t="s">
        <v>139</v>
      </c>
      <c r="S26" s="48"/>
      <c r="T26" s="82"/>
      <c r="U26" s="6" t="s">
        <v>138</v>
      </c>
      <c r="V26" s="6" t="s">
        <v>23</v>
      </c>
      <c r="W26" s="50" t="s">
        <v>139</v>
      </c>
      <c r="Y26" s="48"/>
      <c r="Z26" s="82"/>
      <c r="AA26" s="6" t="s">
        <v>138</v>
      </c>
      <c r="AB26" s="6" t="s">
        <v>23</v>
      </c>
      <c r="AC26" s="50" t="s">
        <v>139</v>
      </c>
      <c r="AE26" s="48"/>
      <c r="AF26" s="82"/>
      <c r="AG26" s="6" t="s">
        <v>138</v>
      </c>
      <c r="AH26" s="6" t="s">
        <v>23</v>
      </c>
      <c r="AI26" s="50" t="s">
        <v>139</v>
      </c>
      <c r="AK26" s="48"/>
      <c r="AL26" s="82" t="s">
        <v>431</v>
      </c>
      <c r="AM26" s="6" t="s">
        <v>138</v>
      </c>
      <c r="AN26" s="6" t="s">
        <v>23</v>
      </c>
      <c r="AO26" s="50" t="s">
        <v>139</v>
      </c>
      <c r="AQ26" s="48"/>
      <c r="AR26" s="82"/>
      <c r="AS26" s="6" t="s">
        <v>138</v>
      </c>
      <c r="AT26" s="6" t="s">
        <v>23</v>
      </c>
      <c r="AU26" s="50" t="s">
        <v>139</v>
      </c>
      <c r="AW26" s="48"/>
      <c r="AX26" s="82"/>
      <c r="AY26" s="6" t="s">
        <v>138</v>
      </c>
      <c r="AZ26" s="6" t="s">
        <v>23</v>
      </c>
      <c r="BA26" s="50" t="s">
        <v>139</v>
      </c>
    </row>
    <row r="27" spans="1:53" x14ac:dyDescent="0.25">
      <c r="A27" s="51" t="s">
        <v>140</v>
      </c>
      <c r="B27" s="10" t="s">
        <v>304</v>
      </c>
      <c r="C27" s="67">
        <v>0.5</v>
      </c>
      <c r="D27" s="44">
        <f>IFERROR(VLOOKUP(B27,'Cost Master List'!$B$2:$P$74,12,),0)</f>
        <v>15.542361041812196</v>
      </c>
      <c r="E27" s="52">
        <f>+D27*C27</f>
        <v>7.771180520906098</v>
      </c>
      <c r="G27" s="51" t="s">
        <v>140</v>
      </c>
      <c r="H27" s="10" t="s">
        <v>157</v>
      </c>
      <c r="I27" s="67">
        <v>0.875</v>
      </c>
      <c r="J27" s="44">
        <f>IFERROR(VLOOKUP(H27,'Cost Master List'!$B$2:$P$74,12,),0)</f>
        <v>7.3441227966724441</v>
      </c>
      <c r="K27" s="52">
        <f>+J27*I27</f>
        <v>6.4261074470883885</v>
      </c>
      <c r="M27" s="51" t="s">
        <v>140</v>
      </c>
      <c r="N27" s="10"/>
      <c r="O27" s="67"/>
      <c r="P27" s="44">
        <f>IFERROR(VLOOKUP(N27,'Cost Master List'!$B$2:$P$74,12,),0)</f>
        <v>0</v>
      </c>
      <c r="Q27" s="52">
        <f>+P27*O27</f>
        <v>0</v>
      </c>
      <c r="S27" s="51" t="s">
        <v>140</v>
      </c>
      <c r="T27" s="10"/>
      <c r="U27" s="67"/>
      <c r="V27" s="44">
        <f>IFERROR(VLOOKUP(T27,'Cost Master List'!$B$2:$P$74,12,),0)</f>
        <v>0</v>
      </c>
      <c r="W27" s="52">
        <f>+V27*U27</f>
        <v>0</v>
      </c>
      <c r="Y27" s="51" t="s">
        <v>140</v>
      </c>
      <c r="Z27" s="10"/>
      <c r="AA27" s="67"/>
      <c r="AB27" s="44">
        <f>IFERROR(VLOOKUP(Z27,'Cost Master List'!$B$2:$P$74,12,),0)</f>
        <v>0</v>
      </c>
      <c r="AC27" s="52">
        <f>+AB27*AA27</f>
        <v>0</v>
      </c>
      <c r="AE27" s="51" t="s">
        <v>140</v>
      </c>
      <c r="AF27" s="10"/>
      <c r="AG27" s="67"/>
      <c r="AH27" s="44">
        <f>IFERROR(VLOOKUP(AF27,'Cost Master List'!$B$2:$P$74,12,),0)</f>
        <v>0</v>
      </c>
      <c r="AI27" s="52">
        <f>+AH27*AG27</f>
        <v>0</v>
      </c>
      <c r="AK27" s="51" t="s">
        <v>140</v>
      </c>
      <c r="AL27" s="10" t="s">
        <v>430</v>
      </c>
      <c r="AM27" s="67">
        <v>0.79559999999999997</v>
      </c>
      <c r="AN27" s="44">
        <f>IFERROR(VLOOKUP(AL27,'Cost Master List'!$B$2:$P$74,12,),0)</f>
        <v>1.8143716377425589</v>
      </c>
      <c r="AO27" s="52">
        <f>+AN27*AM27</f>
        <v>1.4435140749879798</v>
      </c>
      <c r="AQ27" s="51" t="s">
        <v>140</v>
      </c>
      <c r="AR27" s="10"/>
      <c r="AS27" s="67"/>
      <c r="AT27" s="44">
        <f>IFERROR(VLOOKUP(AR27,'Cost Master List'!$B$2:$P$74,12,),0)</f>
        <v>0</v>
      </c>
      <c r="AU27" s="52">
        <f>+AT27*AS27</f>
        <v>0</v>
      </c>
      <c r="AW27" s="51" t="s">
        <v>140</v>
      </c>
      <c r="AX27" s="10"/>
      <c r="AY27" s="67"/>
      <c r="AZ27" s="44">
        <f>IFERROR(VLOOKUP(AX27,'Cost Master List'!$B$2:$P$74,12,),0)</f>
        <v>0</v>
      </c>
      <c r="BA27" s="52">
        <f>+AZ27*AY27</f>
        <v>0</v>
      </c>
    </row>
    <row r="28" spans="1:53" x14ac:dyDescent="0.25">
      <c r="A28" s="53" t="s">
        <v>141</v>
      </c>
      <c r="B28" s="11" t="s">
        <v>208</v>
      </c>
      <c r="C28" s="68">
        <v>0.95</v>
      </c>
      <c r="D28" s="45">
        <f>IFERROR(VLOOKUP(B28,'Cost Master List'!$B$2:$P$74,12,),0)</f>
        <v>1.1850114759006087</v>
      </c>
      <c r="E28" s="54">
        <f t="shared" ref="E28:E31" si="40">+D28*C28</f>
        <v>1.1257609021055783</v>
      </c>
      <c r="G28" s="53" t="s">
        <v>141</v>
      </c>
      <c r="H28" s="11" t="s">
        <v>324</v>
      </c>
      <c r="I28" s="68">
        <v>0.125</v>
      </c>
      <c r="J28" s="45">
        <f>IFERROR(VLOOKUP(H28,'Cost Master List'!$B$2:$P$74,12,),0)</f>
        <v>0.83914688245593361</v>
      </c>
      <c r="K28" s="54">
        <f t="shared" ref="K28:K31" si="41">+J28*I28</f>
        <v>0.1048933603069917</v>
      </c>
      <c r="M28" s="53" t="s">
        <v>141</v>
      </c>
      <c r="N28" s="11"/>
      <c r="O28" s="68"/>
      <c r="P28" s="45">
        <f>IFERROR(VLOOKUP(N28,'Cost Master List'!$B$2:$P$74,12,),0)</f>
        <v>0</v>
      </c>
      <c r="Q28" s="54">
        <f t="shared" ref="Q28:Q31" si="42">+P28*O28</f>
        <v>0</v>
      </c>
      <c r="S28" s="53" t="s">
        <v>141</v>
      </c>
      <c r="T28" s="11"/>
      <c r="U28" s="68"/>
      <c r="V28" s="45">
        <f>IFERROR(VLOOKUP(T28,'Cost Master List'!$B$2:$P$74,12,),0)</f>
        <v>0</v>
      </c>
      <c r="W28" s="54">
        <f t="shared" ref="W28:W31" si="43">+V28*U28</f>
        <v>0</v>
      </c>
      <c r="Y28" s="53" t="s">
        <v>141</v>
      </c>
      <c r="Z28" s="11"/>
      <c r="AA28" s="68"/>
      <c r="AB28" s="45">
        <f>IFERROR(VLOOKUP(Z28,'Cost Master List'!$B$2:$P$74,12,),0)</f>
        <v>0</v>
      </c>
      <c r="AC28" s="54">
        <f t="shared" ref="AC28:AC31" si="44">+AB28*AA28</f>
        <v>0</v>
      </c>
      <c r="AE28" s="53" t="s">
        <v>141</v>
      </c>
      <c r="AF28" s="11"/>
      <c r="AG28" s="68"/>
      <c r="AH28" s="45">
        <f>IFERROR(VLOOKUP(AF28,'Cost Master List'!$B$2:$P$74,12,),0)</f>
        <v>0</v>
      </c>
      <c r="AI28" s="54">
        <f t="shared" ref="AI28:AI31" si="45">+AH28*AG28</f>
        <v>0</v>
      </c>
      <c r="AK28" s="53" t="s">
        <v>141</v>
      </c>
      <c r="AL28" s="11" t="s">
        <v>198</v>
      </c>
      <c r="AM28" s="68">
        <v>0.1094</v>
      </c>
      <c r="AN28" s="45">
        <f>IFERROR(VLOOKUP(AL28,'Cost Master List'!$B$2:$P$74,12,),0)</f>
        <v>0.22679645471781987</v>
      </c>
      <c r="AO28" s="54">
        <f t="shared" ref="AO28:AO31" si="46">+AN28*AM28</f>
        <v>2.4811532146129491E-2</v>
      </c>
      <c r="AQ28" s="53" t="s">
        <v>141</v>
      </c>
      <c r="AR28" s="11"/>
      <c r="AS28" s="68"/>
      <c r="AT28" s="45">
        <f>IFERROR(VLOOKUP(AR28,'Cost Master List'!$B$2:$P$74,12,),0)</f>
        <v>0</v>
      </c>
      <c r="AU28" s="54">
        <f t="shared" ref="AU28:AU31" si="47">+AT28*AS28</f>
        <v>0</v>
      </c>
      <c r="AW28" s="53" t="s">
        <v>141</v>
      </c>
      <c r="AX28" s="11"/>
      <c r="AY28" s="68"/>
      <c r="AZ28" s="45">
        <f>IFERROR(VLOOKUP(AX28,'Cost Master List'!$B$2:$P$74,12,),0)</f>
        <v>0</v>
      </c>
      <c r="BA28" s="54">
        <f t="shared" ref="BA28:BA31" si="48">+AZ28*AY28</f>
        <v>0</v>
      </c>
    </row>
    <row r="29" spans="1:53" x14ac:dyDescent="0.25">
      <c r="A29" s="53" t="s">
        <v>142</v>
      </c>
      <c r="B29" s="11"/>
      <c r="C29" s="68"/>
      <c r="D29" s="45">
        <f>IFERROR(VLOOKUP(B29,'Cost Master List'!$B$2:$P$74,12,),0)</f>
        <v>0</v>
      </c>
      <c r="E29" s="54">
        <f t="shared" si="40"/>
        <v>0</v>
      </c>
      <c r="G29" s="53" t="s">
        <v>142</v>
      </c>
      <c r="H29" s="11"/>
      <c r="I29" s="68"/>
      <c r="J29" s="45">
        <f>IFERROR(VLOOKUP(H29,'Cost Master List'!$B$2:$P$74,12,),0)</f>
        <v>0</v>
      </c>
      <c r="K29" s="54">
        <f t="shared" si="41"/>
        <v>0</v>
      </c>
      <c r="M29" s="53" t="s">
        <v>142</v>
      </c>
      <c r="N29" s="11"/>
      <c r="O29" s="68"/>
      <c r="P29" s="45">
        <f>IFERROR(VLOOKUP(N29,'Cost Master List'!$B$2:$P$74,12,),0)</f>
        <v>0</v>
      </c>
      <c r="Q29" s="54">
        <f t="shared" si="42"/>
        <v>0</v>
      </c>
      <c r="S29" s="53" t="s">
        <v>142</v>
      </c>
      <c r="T29" s="11"/>
      <c r="U29" s="68"/>
      <c r="V29" s="45">
        <f>IFERROR(VLOOKUP(T29,'Cost Master List'!$B$2:$P$74,12,),0)</f>
        <v>0</v>
      </c>
      <c r="W29" s="54">
        <f t="shared" si="43"/>
        <v>0</v>
      </c>
      <c r="Y29" s="53" t="s">
        <v>142</v>
      </c>
      <c r="Z29" s="11"/>
      <c r="AA29" s="68"/>
      <c r="AB29" s="45">
        <f>IFERROR(VLOOKUP(Z29,'Cost Master List'!$B$2:$P$74,12,),0)</f>
        <v>0</v>
      </c>
      <c r="AC29" s="54">
        <f t="shared" si="44"/>
        <v>0</v>
      </c>
      <c r="AE29" s="53" t="s">
        <v>142</v>
      </c>
      <c r="AF29" s="11"/>
      <c r="AG29" s="68"/>
      <c r="AH29" s="45">
        <f>IFERROR(VLOOKUP(AF29,'Cost Master List'!$B$2:$P$74,12,),0)</f>
        <v>0</v>
      </c>
      <c r="AI29" s="54">
        <f t="shared" si="45"/>
        <v>0</v>
      </c>
      <c r="AK29" s="53" t="s">
        <v>142</v>
      </c>
      <c r="AL29" s="11" t="s">
        <v>422</v>
      </c>
      <c r="AM29" s="68">
        <v>2E-3</v>
      </c>
      <c r="AN29" s="45">
        <f>IFERROR(VLOOKUP(AL29,'Cost Master List'!$B$2:$P$74,12,),0)</f>
        <v>2.0184884469885969</v>
      </c>
      <c r="AO29" s="54">
        <f t="shared" si="46"/>
        <v>4.0369768939771938E-3</v>
      </c>
      <c r="AQ29" s="53" t="s">
        <v>142</v>
      </c>
      <c r="AR29" s="11"/>
      <c r="AS29" s="68"/>
      <c r="AT29" s="45">
        <f>IFERROR(VLOOKUP(AR29,'Cost Master List'!$B$2:$P$74,12,),0)</f>
        <v>0</v>
      </c>
      <c r="AU29" s="54">
        <f t="shared" si="47"/>
        <v>0</v>
      </c>
      <c r="AW29" s="53" t="s">
        <v>142</v>
      </c>
      <c r="AX29" s="11"/>
      <c r="AY29" s="68"/>
      <c r="AZ29" s="45">
        <f>IFERROR(VLOOKUP(AX29,'Cost Master List'!$B$2:$P$74,12,),0)</f>
        <v>0</v>
      </c>
      <c r="BA29" s="54">
        <f t="shared" si="48"/>
        <v>0</v>
      </c>
    </row>
    <row r="30" spans="1:53" x14ac:dyDescent="0.25">
      <c r="A30" s="53" t="s">
        <v>143</v>
      </c>
      <c r="B30" s="11"/>
      <c r="C30" s="68"/>
      <c r="D30" s="45">
        <f>IFERROR(VLOOKUP(B30,'Cost Master List'!$B$2:$P$74,12,),0)</f>
        <v>0</v>
      </c>
      <c r="E30" s="54">
        <f t="shared" si="40"/>
        <v>0</v>
      </c>
      <c r="G30" s="53" t="s">
        <v>143</v>
      </c>
      <c r="H30" s="11"/>
      <c r="I30" s="68"/>
      <c r="J30" s="45">
        <f>IFERROR(VLOOKUP(H30,'Cost Master List'!$B$2:$P$74,12,),0)</f>
        <v>0</v>
      </c>
      <c r="K30" s="54">
        <f t="shared" si="41"/>
        <v>0</v>
      </c>
      <c r="M30" s="53" t="s">
        <v>143</v>
      </c>
      <c r="N30" s="11"/>
      <c r="O30" s="68"/>
      <c r="P30" s="45">
        <f>IFERROR(VLOOKUP(N30,'Cost Master List'!$B$2:$P$74,12,),0)</f>
        <v>0</v>
      </c>
      <c r="Q30" s="54">
        <f t="shared" si="42"/>
        <v>0</v>
      </c>
      <c r="S30" s="53" t="s">
        <v>143</v>
      </c>
      <c r="T30" s="11"/>
      <c r="U30" s="68"/>
      <c r="V30" s="45">
        <f>IFERROR(VLOOKUP(T30,'Cost Master List'!$B$2:$P$74,12,),0)</f>
        <v>0</v>
      </c>
      <c r="W30" s="54">
        <f t="shared" si="43"/>
        <v>0</v>
      </c>
      <c r="Y30" s="53" t="s">
        <v>143</v>
      </c>
      <c r="Z30" s="11"/>
      <c r="AA30" s="68"/>
      <c r="AB30" s="45">
        <f>IFERROR(VLOOKUP(Z30,'Cost Master List'!$B$2:$P$74,12,),0)</f>
        <v>0</v>
      </c>
      <c r="AC30" s="54">
        <f t="shared" si="44"/>
        <v>0</v>
      </c>
      <c r="AE30" s="53" t="s">
        <v>143</v>
      </c>
      <c r="AF30" s="11"/>
      <c r="AG30" s="68"/>
      <c r="AH30" s="45">
        <f>IFERROR(VLOOKUP(AF30,'Cost Master List'!$B$2:$P$74,12,),0)</f>
        <v>0</v>
      </c>
      <c r="AI30" s="54">
        <f t="shared" si="45"/>
        <v>0</v>
      </c>
      <c r="AK30" s="53" t="s">
        <v>143</v>
      </c>
      <c r="AL30" s="11" t="s">
        <v>206</v>
      </c>
      <c r="AM30" s="68">
        <v>3.0000000000000001E-3</v>
      </c>
      <c r="AN30" s="45">
        <f>IFERROR(VLOOKUP(AL30,'Cost Master List'!$B$2:$P$74,12,),0)</f>
        <v>4.5359290943563977</v>
      </c>
      <c r="AO30" s="54">
        <f t="shared" si="46"/>
        <v>1.3607787283069193E-2</v>
      </c>
      <c r="AQ30" s="53" t="s">
        <v>143</v>
      </c>
      <c r="AR30" s="11"/>
      <c r="AS30" s="68"/>
      <c r="AT30" s="45">
        <f>IFERROR(VLOOKUP(AR30,'Cost Master List'!$B$2:$P$74,12,),0)</f>
        <v>0</v>
      </c>
      <c r="AU30" s="54">
        <f t="shared" si="47"/>
        <v>0</v>
      </c>
      <c r="AW30" s="53" t="s">
        <v>143</v>
      </c>
      <c r="AX30" s="11"/>
      <c r="AY30" s="68"/>
      <c r="AZ30" s="45">
        <f>IFERROR(VLOOKUP(AX30,'Cost Master List'!$B$2:$P$74,12,),0)</f>
        <v>0</v>
      </c>
      <c r="BA30" s="54">
        <f t="shared" si="48"/>
        <v>0</v>
      </c>
    </row>
    <row r="31" spans="1:53" x14ac:dyDescent="0.25">
      <c r="A31" s="55" t="s">
        <v>144</v>
      </c>
      <c r="B31" s="11"/>
      <c r="C31" s="69"/>
      <c r="D31" s="46">
        <f>IFERROR(VLOOKUP(B31,'Cost Master List'!$B$2:$P$74,12,),0)</f>
        <v>0</v>
      </c>
      <c r="E31" s="56">
        <f t="shared" si="40"/>
        <v>0</v>
      </c>
      <c r="G31" s="55" t="s">
        <v>144</v>
      </c>
      <c r="H31" s="11"/>
      <c r="I31" s="69"/>
      <c r="J31" s="46">
        <f>IFERROR(VLOOKUP(H31,'Cost Master List'!$B$2:$P$74,12,),0)</f>
        <v>0</v>
      </c>
      <c r="K31" s="56">
        <f t="shared" si="41"/>
        <v>0</v>
      </c>
      <c r="M31" s="55" t="s">
        <v>144</v>
      </c>
      <c r="N31" s="11"/>
      <c r="O31" s="69"/>
      <c r="P31" s="46">
        <f>IFERROR(VLOOKUP(N31,'Cost Master List'!$B$2:$P$74,12,),0)</f>
        <v>0</v>
      </c>
      <c r="Q31" s="56">
        <f t="shared" si="42"/>
        <v>0</v>
      </c>
      <c r="S31" s="55" t="s">
        <v>144</v>
      </c>
      <c r="T31" s="11"/>
      <c r="U31" s="69"/>
      <c r="V31" s="46">
        <f>IFERROR(VLOOKUP(T31,'Cost Master List'!$B$2:$P$74,12,),0)</f>
        <v>0</v>
      </c>
      <c r="W31" s="56">
        <f t="shared" si="43"/>
        <v>0</v>
      </c>
      <c r="Y31" s="55" t="s">
        <v>144</v>
      </c>
      <c r="Z31" s="11"/>
      <c r="AA31" s="69"/>
      <c r="AB31" s="46">
        <f>IFERROR(VLOOKUP(Z31,'Cost Master List'!$B$2:$P$74,12,),0)</f>
        <v>0</v>
      </c>
      <c r="AC31" s="56">
        <f t="shared" si="44"/>
        <v>0</v>
      </c>
      <c r="AE31" s="55" t="s">
        <v>144</v>
      </c>
      <c r="AF31" s="11"/>
      <c r="AG31" s="69"/>
      <c r="AH31" s="46">
        <f>IFERROR(VLOOKUP(AF31,'Cost Master List'!$B$2:$P$74,12,),0)</f>
        <v>0</v>
      </c>
      <c r="AI31" s="56">
        <f t="shared" si="45"/>
        <v>0</v>
      </c>
      <c r="AK31" s="55" t="s">
        <v>144</v>
      </c>
      <c r="AL31" s="11" t="s">
        <v>427</v>
      </c>
      <c r="AM31" s="69">
        <v>0.09</v>
      </c>
      <c r="AN31" s="46">
        <f>IFERROR(VLOOKUP(AL31,'Cost Master List'!$B$2:$P$74,12,),0)</f>
        <v>76.076602770545492</v>
      </c>
      <c r="AO31" s="56">
        <f t="shared" si="46"/>
        <v>6.8468942493490941</v>
      </c>
      <c r="AQ31" s="55" t="s">
        <v>144</v>
      </c>
      <c r="AR31" s="11"/>
      <c r="AS31" s="69"/>
      <c r="AT31" s="46">
        <f>IFERROR(VLOOKUP(AR31,'Cost Master List'!$B$2:$P$74,12,),0)</f>
        <v>0</v>
      </c>
      <c r="AU31" s="56">
        <f t="shared" si="47"/>
        <v>0</v>
      </c>
      <c r="AW31" s="55" t="s">
        <v>144</v>
      </c>
      <c r="AX31" s="11"/>
      <c r="AY31" s="69"/>
      <c r="AZ31" s="46">
        <f>IFERROR(VLOOKUP(AX31,'Cost Master List'!$B$2:$P$74,12,),0)</f>
        <v>0</v>
      </c>
      <c r="BA31" s="56">
        <f t="shared" si="48"/>
        <v>0</v>
      </c>
    </row>
    <row r="32" spans="1:53" x14ac:dyDescent="0.25">
      <c r="A32" s="51" t="s">
        <v>145</v>
      </c>
      <c r="B32" s="10" t="s">
        <v>184</v>
      </c>
      <c r="C32" s="8"/>
      <c r="D32" s="45">
        <f>IFERROR(VLOOKUP('Manufactured Items Models'!B32,'Cost Master List'!$B$84:$L$98,11,FALSE),0)</f>
        <v>9.68</v>
      </c>
      <c r="E32" s="54">
        <f>+D32/$A$26</f>
        <v>0.24199999999999999</v>
      </c>
      <c r="G32" s="51" t="s">
        <v>145</v>
      </c>
      <c r="H32" s="10" t="s">
        <v>170</v>
      </c>
      <c r="I32" s="8"/>
      <c r="J32" s="45">
        <f>IFERROR(VLOOKUP('Manufactured Items Models'!H32,'Cost Master List'!$B$84:$L$98,11,FALSE),0)</f>
        <v>2.4699999999999998</v>
      </c>
      <c r="K32" s="54">
        <f>+J32/$G$26</f>
        <v>6.1749999999999992E-2</v>
      </c>
      <c r="M32" s="51" t="s">
        <v>145</v>
      </c>
      <c r="N32" s="10"/>
      <c r="O32" s="8"/>
      <c r="P32" s="45">
        <f>IFERROR(VLOOKUP('Manufactured Items Models'!N32,'Cost Master List'!$B$84:$L$98,11,FALSE),0)</f>
        <v>0</v>
      </c>
      <c r="Q32" s="54">
        <f>+P32/$G$14</f>
        <v>0</v>
      </c>
      <c r="S32" s="51" t="s">
        <v>145</v>
      </c>
      <c r="T32" s="10"/>
      <c r="U32" s="8"/>
      <c r="V32" s="45">
        <f>IFERROR(VLOOKUP('Manufactured Items Models'!T32,'Cost Master List'!$B$84:$L$98,11,FALSE),0)</f>
        <v>0</v>
      </c>
      <c r="W32" s="54">
        <f>+V32/$G$14</f>
        <v>0</v>
      </c>
      <c r="Y32" s="51" t="s">
        <v>145</v>
      </c>
      <c r="Z32" s="10"/>
      <c r="AA32" s="8"/>
      <c r="AB32" s="45">
        <f>IFERROR(VLOOKUP('Manufactured Items Models'!Z32,'Cost Master List'!$B$84:$L$98,11,FALSE),0)</f>
        <v>0</v>
      </c>
      <c r="AC32" s="54">
        <f>+AB32/$G$14</f>
        <v>0</v>
      </c>
      <c r="AE32" s="51" t="s">
        <v>145</v>
      </c>
      <c r="AF32" s="10"/>
      <c r="AG32" s="8"/>
      <c r="AH32" s="45">
        <f>IFERROR(VLOOKUP('Manufactured Items Models'!AF32,'Cost Master List'!$B$84:$L$98,11,FALSE),0)</f>
        <v>0</v>
      </c>
      <c r="AI32" s="54">
        <f>+AH32/$G$14</f>
        <v>0</v>
      </c>
      <c r="AK32" s="51" t="s">
        <v>145</v>
      </c>
      <c r="AL32" s="10" t="s">
        <v>184</v>
      </c>
      <c r="AM32" s="8"/>
      <c r="AN32" s="45">
        <f>IFERROR(VLOOKUP('Manufactured Items Models'!AL32,'Cost Master List'!$B$84:$L$98,11,FALSE),0)</f>
        <v>9.68</v>
      </c>
      <c r="AO32" s="54">
        <f>+AN32/$G$14</f>
        <v>0.24199999999999999</v>
      </c>
      <c r="AQ32" s="51" t="s">
        <v>145</v>
      </c>
      <c r="AR32" s="10"/>
      <c r="AS32" s="8"/>
      <c r="AT32" s="45">
        <f>IFERROR(VLOOKUP('Manufactured Items Models'!AR32,'Cost Master List'!$B$84:$L$98,11,FALSE),0)</f>
        <v>0</v>
      </c>
      <c r="AU32" s="54">
        <f>+AT32/$G$14</f>
        <v>0</v>
      </c>
      <c r="AW32" s="51" t="s">
        <v>145</v>
      </c>
      <c r="AX32" s="10"/>
      <c r="AY32" s="8"/>
      <c r="AZ32" s="45">
        <f>IFERROR(VLOOKUP('Manufactured Items Models'!AX32,'Cost Master List'!$B$84:$L$98,11,FALSE),0)</f>
        <v>0</v>
      </c>
      <c r="BA32" s="54">
        <f>+AZ32/$G$14</f>
        <v>0</v>
      </c>
    </row>
    <row r="33" spans="1:53" x14ac:dyDescent="0.25">
      <c r="A33" s="53" t="s">
        <v>146</v>
      </c>
      <c r="B33" s="11"/>
      <c r="D33" s="45">
        <f>IFERROR(VLOOKUP('Manufactured Items Models'!B33,'Cost Master List'!$B$84:$L$98,11,FALSE),0)</f>
        <v>0</v>
      </c>
      <c r="E33" s="54">
        <f>+D33/$A$26</f>
        <v>0</v>
      </c>
      <c r="G33" s="53" t="s">
        <v>146</v>
      </c>
      <c r="H33" s="11" t="s">
        <v>181</v>
      </c>
      <c r="J33" s="45">
        <f>IFERROR(VLOOKUP('Manufactured Items Models'!H33,'Cost Master List'!$B$84:$L$98,11,FALSE),0)</f>
        <v>0.67800000000000005</v>
      </c>
      <c r="K33" s="54">
        <f t="shared" ref="K33" si="49">+J33/$G$26</f>
        <v>1.695E-2</v>
      </c>
      <c r="M33" s="53" t="s">
        <v>146</v>
      </c>
      <c r="N33" s="11"/>
      <c r="P33" s="45">
        <f>IFERROR(VLOOKUP('Manufactured Items Models'!N33,'Cost Master List'!$B$84:$L$98,11,FALSE),0)</f>
        <v>0</v>
      </c>
      <c r="Q33" s="54">
        <f t="shared" ref="Q33:Q34" si="50">+P33/$G$14</f>
        <v>0</v>
      </c>
      <c r="S33" s="53" t="s">
        <v>146</v>
      </c>
      <c r="T33" s="11"/>
      <c r="V33" s="45">
        <f>IFERROR(VLOOKUP('Manufactured Items Models'!T33,'Cost Master List'!$B$84:$L$98,11,FALSE),0)</f>
        <v>0</v>
      </c>
      <c r="W33" s="54">
        <f t="shared" ref="W33:W34" si="51">+V33/$G$14</f>
        <v>0</v>
      </c>
      <c r="Y33" s="53" t="s">
        <v>146</v>
      </c>
      <c r="Z33" s="11"/>
      <c r="AB33" s="45">
        <f>IFERROR(VLOOKUP('Manufactured Items Models'!Z33,'Cost Master List'!$B$84:$L$98,11,FALSE),0)</f>
        <v>0</v>
      </c>
      <c r="AC33" s="54">
        <f t="shared" ref="AC33:AC34" si="52">+AB33/$G$14</f>
        <v>0</v>
      </c>
      <c r="AE33" s="53" t="s">
        <v>146</v>
      </c>
      <c r="AF33" s="11"/>
      <c r="AH33" s="45">
        <f>IFERROR(VLOOKUP('Manufactured Items Models'!AF33,'Cost Master List'!$B$84:$L$98,11,FALSE),0)</f>
        <v>0</v>
      </c>
      <c r="AI33" s="54">
        <f t="shared" ref="AI33:AI34" si="53">+AH33/$G$14</f>
        <v>0</v>
      </c>
      <c r="AK33" s="53" t="s">
        <v>146</v>
      </c>
      <c r="AL33" s="11"/>
      <c r="AN33" s="45">
        <f>IFERROR(VLOOKUP('Manufactured Items Models'!AL33,'Cost Master List'!$B$84:$L$98,11,FALSE),0)</f>
        <v>0</v>
      </c>
      <c r="AO33" s="54">
        <f t="shared" ref="AO33:AO34" si="54">+AN33/$G$14</f>
        <v>0</v>
      </c>
      <c r="AQ33" s="53" t="s">
        <v>146</v>
      </c>
      <c r="AR33" s="11"/>
      <c r="AT33" s="45">
        <f>IFERROR(VLOOKUP('Manufactured Items Models'!AR33,'Cost Master List'!$B$84:$L$98,11,FALSE),0)</f>
        <v>0</v>
      </c>
      <c r="AU33" s="54">
        <f t="shared" ref="AU33:AU34" si="55">+AT33/$G$14</f>
        <v>0</v>
      </c>
      <c r="AW33" s="53" t="s">
        <v>146</v>
      </c>
      <c r="AX33" s="11"/>
      <c r="AZ33" s="45">
        <f>IFERROR(VLOOKUP('Manufactured Items Models'!AX33,'Cost Master List'!$B$84:$L$98,11,FALSE),0)</f>
        <v>0</v>
      </c>
      <c r="BA33" s="54">
        <f t="shared" ref="BA33:BA34" si="56">+AZ33/$G$14</f>
        <v>0</v>
      </c>
    </row>
    <row r="34" spans="1:53" x14ac:dyDescent="0.25">
      <c r="A34" s="55" t="s">
        <v>147</v>
      </c>
      <c r="B34" s="12"/>
      <c r="C34" s="9"/>
      <c r="D34" s="45">
        <f>IFERROR(VLOOKUP('Manufactured Items Models'!B34,'Cost Master List'!$B$84:$L$98,11,FALSE),0)</f>
        <v>0</v>
      </c>
      <c r="E34" s="54">
        <f>+D34/$A$26</f>
        <v>0</v>
      </c>
      <c r="G34" s="55" t="s">
        <v>147</v>
      </c>
      <c r="H34" s="12"/>
      <c r="I34" s="9"/>
      <c r="J34" s="45">
        <f>IFERROR(VLOOKUP('Manufactured Items Models'!H34,'Cost Master List'!$B$84:$L$98,11,FALSE),0)</f>
        <v>0</v>
      </c>
      <c r="K34" s="54">
        <f>+J34/$G$26</f>
        <v>0</v>
      </c>
      <c r="M34" s="55" t="s">
        <v>147</v>
      </c>
      <c r="N34" s="12"/>
      <c r="O34" s="9"/>
      <c r="P34" s="45">
        <f>IFERROR(VLOOKUP('Manufactured Items Models'!N34,'Cost Master List'!$B$84:$L$98,11,FALSE),0)</f>
        <v>0</v>
      </c>
      <c r="Q34" s="54">
        <f t="shared" si="50"/>
        <v>0</v>
      </c>
      <c r="S34" s="55" t="s">
        <v>147</v>
      </c>
      <c r="T34" s="12"/>
      <c r="U34" s="9"/>
      <c r="V34" s="45">
        <f>IFERROR(VLOOKUP('Manufactured Items Models'!T34,'Cost Master List'!$B$84:$L$98,11,FALSE),0)</f>
        <v>0</v>
      </c>
      <c r="W34" s="54">
        <f t="shared" si="51"/>
        <v>0</v>
      </c>
      <c r="Y34" s="55" t="s">
        <v>147</v>
      </c>
      <c r="Z34" s="12"/>
      <c r="AA34" s="9"/>
      <c r="AB34" s="45">
        <f>IFERROR(VLOOKUP('Manufactured Items Models'!Z34,'Cost Master List'!$B$84:$L$98,11,FALSE),0)</f>
        <v>0</v>
      </c>
      <c r="AC34" s="54">
        <f t="shared" si="52"/>
        <v>0</v>
      </c>
      <c r="AE34" s="55" t="s">
        <v>147</v>
      </c>
      <c r="AF34" s="12"/>
      <c r="AG34" s="9"/>
      <c r="AH34" s="45">
        <f>IFERROR(VLOOKUP('Manufactured Items Models'!AF34,'Cost Master List'!$B$84:$L$98,11,FALSE),0)</f>
        <v>0</v>
      </c>
      <c r="AI34" s="54">
        <f t="shared" si="53"/>
        <v>0</v>
      </c>
      <c r="AK34" s="55" t="s">
        <v>147</v>
      </c>
      <c r="AL34" s="12"/>
      <c r="AM34" s="9"/>
      <c r="AN34" s="45">
        <f>IFERROR(VLOOKUP('Manufactured Items Models'!AL34,'Cost Master List'!$B$84:$L$98,11,FALSE),0)</f>
        <v>0</v>
      </c>
      <c r="AO34" s="54">
        <f t="shared" si="54"/>
        <v>0</v>
      </c>
      <c r="AQ34" s="55" t="s">
        <v>147</v>
      </c>
      <c r="AR34" s="12"/>
      <c r="AS34" s="9"/>
      <c r="AT34" s="45">
        <f>IFERROR(VLOOKUP('Manufactured Items Models'!AR34,'Cost Master List'!$B$84:$L$98,11,FALSE),0)</f>
        <v>0</v>
      </c>
      <c r="AU34" s="54">
        <f t="shared" si="55"/>
        <v>0</v>
      </c>
      <c r="AW34" s="55" t="s">
        <v>147</v>
      </c>
      <c r="AX34" s="12"/>
      <c r="AY34" s="9"/>
      <c r="AZ34" s="45">
        <f>IFERROR(VLOOKUP('Manufactured Items Models'!AX34,'Cost Master List'!$B$84:$L$98,11,FALSE),0)</f>
        <v>0</v>
      </c>
      <c r="BA34" s="54">
        <f t="shared" si="56"/>
        <v>0</v>
      </c>
    </row>
    <row r="35" spans="1:53" x14ac:dyDescent="0.25">
      <c r="A35" s="57" t="s">
        <v>148</v>
      </c>
      <c r="B35" s="47"/>
      <c r="C35" s="47"/>
      <c r="D35" s="47"/>
      <c r="E35" s="58">
        <v>1</v>
      </c>
      <c r="G35" s="57" t="s">
        <v>148</v>
      </c>
      <c r="H35" s="47"/>
      <c r="I35" s="47"/>
      <c r="J35" s="47"/>
      <c r="K35" s="58">
        <v>1</v>
      </c>
      <c r="M35" s="57" t="s">
        <v>148</v>
      </c>
      <c r="N35" s="47"/>
      <c r="O35" s="47"/>
      <c r="P35" s="47"/>
      <c r="Q35" s="58">
        <v>1</v>
      </c>
      <c r="S35" s="57" t="s">
        <v>148</v>
      </c>
      <c r="T35" s="47"/>
      <c r="U35" s="47"/>
      <c r="V35" s="47"/>
      <c r="W35" s="58">
        <v>1</v>
      </c>
      <c r="Y35" s="57" t="s">
        <v>148</v>
      </c>
      <c r="Z35" s="47"/>
      <c r="AA35" s="47"/>
      <c r="AB35" s="47"/>
      <c r="AC35" s="58">
        <v>1</v>
      </c>
      <c r="AE35" s="57" t="s">
        <v>148</v>
      </c>
      <c r="AF35" s="47"/>
      <c r="AG35" s="47"/>
      <c r="AH35" s="47"/>
      <c r="AI35" s="58">
        <v>1</v>
      </c>
      <c r="AK35" s="57" t="s">
        <v>148</v>
      </c>
      <c r="AL35" s="47"/>
      <c r="AM35" s="47"/>
      <c r="AN35" s="47"/>
      <c r="AO35" s="58">
        <v>1</v>
      </c>
      <c r="AQ35" s="57" t="s">
        <v>148</v>
      </c>
      <c r="AR35" s="47"/>
      <c r="AS35" s="47"/>
      <c r="AT35" s="47"/>
      <c r="AU35" s="58">
        <v>1</v>
      </c>
      <c r="AW35" s="57" t="s">
        <v>148</v>
      </c>
      <c r="AX35" s="47"/>
      <c r="AY35" s="47"/>
      <c r="AZ35" s="47"/>
      <c r="BA35" s="58">
        <v>1</v>
      </c>
    </row>
    <row r="36" spans="1:53" ht="15.75" thickBot="1" x14ac:dyDescent="0.3">
      <c r="A36" s="60"/>
      <c r="B36" s="84" t="str">
        <f>+B26</f>
        <v>Annatto Extract P2404</v>
      </c>
      <c r="C36" s="61"/>
      <c r="D36" s="61" t="s">
        <v>185</v>
      </c>
      <c r="E36" s="62">
        <f>+SUM(E27:E35)</f>
        <v>10.138941423011676</v>
      </c>
      <c r="G36" s="60"/>
      <c r="H36" s="84" t="s">
        <v>339</v>
      </c>
      <c r="I36" s="61"/>
      <c r="J36" s="61" t="s">
        <v>185</v>
      </c>
      <c r="K36" s="62">
        <f>+SUM(K27:K35)</f>
        <v>7.60970080739538</v>
      </c>
      <c r="M36" s="60"/>
      <c r="N36" s="84"/>
      <c r="O36" s="61"/>
      <c r="P36" s="61" t="s">
        <v>185</v>
      </c>
      <c r="Q36" s="62">
        <f>+SUM(Q27:Q35)</f>
        <v>1</v>
      </c>
      <c r="S36" s="60"/>
      <c r="T36" s="84"/>
      <c r="U36" s="61"/>
      <c r="V36" s="61" t="s">
        <v>185</v>
      </c>
      <c r="W36" s="62">
        <f>+SUM(W27:W35)</f>
        <v>1</v>
      </c>
      <c r="Y36" s="60"/>
      <c r="Z36" s="84"/>
      <c r="AA36" s="61"/>
      <c r="AB36" s="61" t="s">
        <v>185</v>
      </c>
      <c r="AC36" s="62">
        <f>+SUM(AC27:AC35)</f>
        <v>1</v>
      </c>
      <c r="AE36" s="60"/>
      <c r="AF36" s="84"/>
      <c r="AG36" s="61"/>
      <c r="AH36" s="61" t="s">
        <v>185</v>
      </c>
      <c r="AI36" s="62">
        <f>+SUM(AI27:AI35)</f>
        <v>1</v>
      </c>
      <c r="AK36" s="57"/>
      <c r="AL36" s="47"/>
      <c r="AM36" s="47"/>
      <c r="AN36" s="47" t="s">
        <v>185</v>
      </c>
      <c r="AO36" s="59">
        <f>+SUM(AO27:AO35)</f>
        <v>9.5748646206602501</v>
      </c>
      <c r="AQ36" s="57"/>
      <c r="AR36" s="47"/>
      <c r="AS36" s="47"/>
      <c r="AT36" s="47" t="s">
        <v>185</v>
      </c>
      <c r="AU36" s="59">
        <f>+SUM(AU27:AU35)</f>
        <v>1</v>
      </c>
      <c r="AW36" s="57"/>
      <c r="AX36" s="47"/>
      <c r="AY36" s="47"/>
      <c r="AZ36" s="47" t="s">
        <v>185</v>
      </c>
      <c r="BA36" s="59">
        <f>+SUM(BA27:BA35)</f>
        <v>1</v>
      </c>
    </row>
    <row r="37" spans="1:53" x14ac:dyDescent="0.25">
      <c r="A37" s="64"/>
      <c r="B37" s="63"/>
      <c r="C37" s="63"/>
      <c r="D37" s="63"/>
      <c r="E37" s="65"/>
      <c r="G37" s="64"/>
      <c r="H37" s="63"/>
      <c r="I37" s="63"/>
      <c r="J37" s="63"/>
      <c r="K37" s="65"/>
      <c r="M37" s="64"/>
      <c r="N37" s="63"/>
      <c r="O37" s="63"/>
      <c r="P37" s="63"/>
      <c r="Q37" s="65"/>
      <c r="S37" s="64"/>
      <c r="T37" s="63"/>
      <c r="U37" s="63"/>
      <c r="V37" s="63"/>
      <c r="W37" s="65"/>
      <c r="Y37" s="64"/>
      <c r="Z37" s="63"/>
      <c r="AA37" s="63"/>
      <c r="AB37" s="63"/>
      <c r="AC37" s="65"/>
      <c r="AE37" s="64"/>
      <c r="AF37" s="63"/>
      <c r="AG37" s="63"/>
      <c r="AH37" s="63"/>
      <c r="AI37" s="65"/>
      <c r="AK37" s="64"/>
      <c r="AL37" s="63"/>
      <c r="AM37" s="63"/>
      <c r="AN37" s="63"/>
      <c r="AO37" s="65"/>
      <c r="AQ37" s="64"/>
      <c r="AR37" s="63"/>
      <c r="AS37" s="63"/>
      <c r="AT37" s="63"/>
      <c r="AU37" s="65"/>
      <c r="AW37" s="64"/>
      <c r="AX37" s="63"/>
      <c r="AY37" s="63"/>
      <c r="AZ37" s="63"/>
      <c r="BA37" s="65"/>
    </row>
    <row r="38" spans="1:53" x14ac:dyDescent="0.25">
      <c r="A38" s="48">
        <v>8</v>
      </c>
      <c r="B38" s="82" t="s">
        <v>194</v>
      </c>
      <c r="C38" s="6" t="s">
        <v>138</v>
      </c>
      <c r="D38" s="6" t="s">
        <v>23</v>
      </c>
      <c r="E38" s="50" t="s">
        <v>139</v>
      </c>
      <c r="G38" s="48"/>
      <c r="H38" s="82"/>
      <c r="I38" s="6" t="s">
        <v>138</v>
      </c>
      <c r="J38" s="6" t="s">
        <v>23</v>
      </c>
      <c r="K38" s="50" t="s">
        <v>139</v>
      </c>
      <c r="M38" s="48"/>
      <c r="N38" s="82"/>
      <c r="O38" s="6" t="s">
        <v>138</v>
      </c>
      <c r="P38" s="6" t="s">
        <v>23</v>
      </c>
      <c r="Q38" s="50" t="s">
        <v>139</v>
      </c>
      <c r="S38" s="48"/>
      <c r="T38" s="82"/>
      <c r="U38" s="6" t="s">
        <v>138</v>
      </c>
      <c r="V38" s="6" t="s">
        <v>23</v>
      </c>
      <c r="W38" s="50" t="s">
        <v>139</v>
      </c>
      <c r="Y38" s="48"/>
      <c r="Z38" s="82"/>
      <c r="AA38" s="6" t="s">
        <v>138</v>
      </c>
      <c r="AB38" s="6" t="s">
        <v>23</v>
      </c>
      <c r="AC38" s="50" t="s">
        <v>139</v>
      </c>
      <c r="AE38" s="48"/>
      <c r="AF38" s="82"/>
      <c r="AG38" s="6" t="s">
        <v>138</v>
      </c>
      <c r="AH38" s="6" t="s">
        <v>23</v>
      </c>
      <c r="AI38" s="50" t="s">
        <v>139</v>
      </c>
      <c r="AK38" s="48"/>
      <c r="AL38" s="82"/>
      <c r="AM38" s="6" t="s">
        <v>138</v>
      </c>
      <c r="AN38" s="6" t="s">
        <v>23</v>
      </c>
      <c r="AO38" s="50" t="s">
        <v>139</v>
      </c>
      <c r="AQ38" s="48"/>
      <c r="AR38" s="82"/>
      <c r="AS38" s="6" t="s">
        <v>138</v>
      </c>
      <c r="AT38" s="6" t="s">
        <v>23</v>
      </c>
      <c r="AU38" s="50" t="s">
        <v>139</v>
      </c>
      <c r="AW38" s="48"/>
      <c r="AX38" s="82"/>
      <c r="AY38" s="6" t="s">
        <v>138</v>
      </c>
      <c r="AZ38" s="6" t="s">
        <v>23</v>
      </c>
      <c r="BA38" s="50" t="s">
        <v>139</v>
      </c>
    </row>
    <row r="39" spans="1:53" x14ac:dyDescent="0.25">
      <c r="A39" s="51" t="s">
        <v>140</v>
      </c>
      <c r="B39" s="10" t="s">
        <v>303</v>
      </c>
      <c r="C39" s="67">
        <v>0.21</v>
      </c>
      <c r="D39" s="44">
        <f>IFERROR(VLOOKUP(B39,'Cost Master List'!$B$2:$P$74,12,),0)</f>
        <v>6.1053605610037103</v>
      </c>
      <c r="E39" s="52">
        <f>+D39*C39</f>
        <v>1.2821257178107792</v>
      </c>
      <c r="G39" s="51" t="s">
        <v>140</v>
      </c>
      <c r="H39" s="10"/>
      <c r="I39" s="67"/>
      <c r="J39" s="44">
        <f>IFERROR(VLOOKUP(H39,'Cost Master List'!$B$2:$P$74,12,),0)</f>
        <v>0</v>
      </c>
      <c r="K39" s="52">
        <f>+J39*I39</f>
        <v>0</v>
      </c>
      <c r="M39" s="51" t="s">
        <v>140</v>
      </c>
      <c r="N39" s="10"/>
      <c r="O39" s="67"/>
      <c r="P39" s="44">
        <f>IFERROR(VLOOKUP(N39,'Cost Master List'!$B$2:$P$74,12,),0)</f>
        <v>0</v>
      </c>
      <c r="Q39" s="52">
        <f>+P39*O39</f>
        <v>0</v>
      </c>
      <c r="S39" s="51" t="s">
        <v>140</v>
      </c>
      <c r="T39" s="10"/>
      <c r="U39" s="67"/>
      <c r="V39" s="44">
        <f>IFERROR(VLOOKUP(T39,'Cost Master List'!$B$2:$P$74,12,),0)</f>
        <v>0</v>
      </c>
      <c r="W39" s="52">
        <f>+V39*U39</f>
        <v>0</v>
      </c>
      <c r="Y39" s="51" t="s">
        <v>140</v>
      </c>
      <c r="Z39" s="10"/>
      <c r="AA39" s="67"/>
      <c r="AB39" s="44">
        <f>IFERROR(VLOOKUP(Z39,'Cost Master List'!$B$2:$P$74,12,),0)</f>
        <v>0</v>
      </c>
      <c r="AC39" s="52">
        <f>+AB39*AA39</f>
        <v>0</v>
      </c>
      <c r="AE39" s="51" t="s">
        <v>140</v>
      </c>
      <c r="AF39" s="10"/>
      <c r="AG39" s="67"/>
      <c r="AH39" s="44">
        <f>IFERROR(VLOOKUP(AF39,'Cost Master List'!$B$2:$P$74,12,),0)</f>
        <v>0</v>
      </c>
      <c r="AI39" s="52">
        <f>+AH39*AG39</f>
        <v>0</v>
      </c>
      <c r="AK39" s="51" t="s">
        <v>140</v>
      </c>
      <c r="AL39" s="10"/>
      <c r="AM39" s="67"/>
      <c r="AN39" s="44">
        <f>IFERROR(VLOOKUP(AL39,'Cost Master List'!$B$2:$P$74,12,),0)</f>
        <v>0</v>
      </c>
      <c r="AO39" s="52">
        <f>+AN39*AM39</f>
        <v>0</v>
      </c>
      <c r="AQ39" s="51" t="s">
        <v>140</v>
      </c>
      <c r="AR39" s="10"/>
      <c r="AS39" s="67"/>
      <c r="AT39" s="44">
        <f>IFERROR(VLOOKUP(AR39,'Cost Master List'!$B$2:$P$74,12,),0)</f>
        <v>0</v>
      </c>
      <c r="AU39" s="52">
        <f>+AT39*AS39</f>
        <v>0</v>
      </c>
      <c r="AW39" s="51" t="s">
        <v>140</v>
      </c>
      <c r="AX39" s="10"/>
      <c r="AY39" s="67"/>
      <c r="AZ39" s="44">
        <f>IFERROR(VLOOKUP(AX39,'Cost Master List'!$B$2:$P$74,12,),0)</f>
        <v>0</v>
      </c>
      <c r="BA39" s="52">
        <f>+AZ39*AY39</f>
        <v>0</v>
      </c>
    </row>
    <row r="40" spans="1:53" x14ac:dyDescent="0.25">
      <c r="A40" s="53" t="s">
        <v>141</v>
      </c>
      <c r="B40" s="11" t="s">
        <v>198</v>
      </c>
      <c r="C40" s="68">
        <v>0.79</v>
      </c>
      <c r="D40" s="45">
        <f>IFERROR(VLOOKUP(B40,'Cost Master List'!$B$2:$P$74,12,),0)</f>
        <v>0.22679645471781987</v>
      </c>
      <c r="E40" s="54">
        <f t="shared" ref="E40:E43" si="57">+D40*C40</f>
        <v>0.17916919922707769</v>
      </c>
      <c r="G40" s="53" t="s">
        <v>141</v>
      </c>
      <c r="H40" s="11"/>
      <c r="I40" s="68"/>
      <c r="J40" s="45">
        <f>IFERROR(VLOOKUP(H40,'Cost Master List'!$B$2:$P$74,12,),0)</f>
        <v>0</v>
      </c>
      <c r="K40" s="54">
        <f t="shared" ref="K40:K43" si="58">+J40*I40</f>
        <v>0</v>
      </c>
      <c r="M40" s="53" t="s">
        <v>141</v>
      </c>
      <c r="N40" s="11"/>
      <c r="O40" s="68"/>
      <c r="P40" s="45">
        <f>IFERROR(VLOOKUP(N40,'Cost Master List'!$B$2:$P$74,12,),0)</f>
        <v>0</v>
      </c>
      <c r="Q40" s="54">
        <f t="shared" ref="Q40:Q43" si="59">+P40*O40</f>
        <v>0</v>
      </c>
      <c r="S40" s="53" t="s">
        <v>141</v>
      </c>
      <c r="T40" s="11"/>
      <c r="U40" s="68"/>
      <c r="V40" s="45">
        <f>IFERROR(VLOOKUP(T40,'Cost Master List'!$B$2:$P$74,12,),0)</f>
        <v>0</v>
      </c>
      <c r="W40" s="54">
        <f t="shared" ref="W40:W43" si="60">+V40*U40</f>
        <v>0</v>
      </c>
      <c r="Y40" s="53" t="s">
        <v>141</v>
      </c>
      <c r="Z40" s="11"/>
      <c r="AA40" s="68"/>
      <c r="AB40" s="45">
        <f>IFERROR(VLOOKUP(Z40,'Cost Master List'!$B$2:$P$74,12,),0)</f>
        <v>0</v>
      </c>
      <c r="AC40" s="54">
        <f t="shared" ref="AC40:AC43" si="61">+AB40*AA40</f>
        <v>0</v>
      </c>
      <c r="AE40" s="53" t="s">
        <v>141</v>
      </c>
      <c r="AF40" s="11"/>
      <c r="AG40" s="68"/>
      <c r="AH40" s="45">
        <f>IFERROR(VLOOKUP(AF40,'Cost Master List'!$B$2:$P$74,12,),0)</f>
        <v>0</v>
      </c>
      <c r="AI40" s="54">
        <f t="shared" ref="AI40:AI43" si="62">+AH40*AG40</f>
        <v>0</v>
      </c>
      <c r="AK40" s="53" t="s">
        <v>141</v>
      </c>
      <c r="AL40" s="11"/>
      <c r="AM40" s="68"/>
      <c r="AN40" s="45">
        <f>IFERROR(VLOOKUP(AL40,'Cost Master List'!$B$2:$P$74,12,),0)</f>
        <v>0</v>
      </c>
      <c r="AO40" s="54">
        <f t="shared" ref="AO40:AO43" si="63">+AN40*AM40</f>
        <v>0</v>
      </c>
      <c r="AQ40" s="53" t="s">
        <v>141</v>
      </c>
      <c r="AR40" s="11"/>
      <c r="AS40" s="68"/>
      <c r="AT40" s="45">
        <f>IFERROR(VLOOKUP(AR40,'Cost Master List'!$B$2:$P$74,12,),0)</f>
        <v>0</v>
      </c>
      <c r="AU40" s="54">
        <f t="shared" ref="AU40:AU43" si="64">+AT40*AS40</f>
        <v>0</v>
      </c>
      <c r="AW40" s="53" t="s">
        <v>141</v>
      </c>
      <c r="AX40" s="11"/>
      <c r="AY40" s="68"/>
      <c r="AZ40" s="45">
        <f>IFERROR(VLOOKUP(AX40,'Cost Master List'!$B$2:$P$74,12,),0)</f>
        <v>0</v>
      </c>
      <c r="BA40" s="54">
        <f t="shared" ref="BA40:BA43" si="65">+AZ40*AY40</f>
        <v>0</v>
      </c>
    </row>
    <row r="41" spans="1:53" x14ac:dyDescent="0.25">
      <c r="A41" s="53" t="s">
        <v>142</v>
      </c>
      <c r="B41" s="11"/>
      <c r="C41" s="68"/>
      <c r="D41" s="45">
        <f>IFERROR(VLOOKUP(B41,'Cost Master List'!$B$2:$P$74,12,),0)</f>
        <v>0</v>
      </c>
      <c r="E41" s="54">
        <f t="shared" si="57"/>
        <v>0</v>
      </c>
      <c r="G41" s="53" t="s">
        <v>142</v>
      </c>
      <c r="H41" s="11"/>
      <c r="I41" s="68"/>
      <c r="J41" s="45">
        <f>IFERROR(VLOOKUP(H41,'Cost Master List'!$B$2:$P$74,12,),0)</f>
        <v>0</v>
      </c>
      <c r="K41" s="54">
        <f t="shared" si="58"/>
        <v>0</v>
      </c>
      <c r="M41" s="53" t="s">
        <v>142</v>
      </c>
      <c r="N41" s="11"/>
      <c r="O41" s="68"/>
      <c r="P41" s="45">
        <f>IFERROR(VLOOKUP(N41,'Cost Master List'!$B$2:$P$74,12,),0)</f>
        <v>0</v>
      </c>
      <c r="Q41" s="54">
        <f t="shared" si="59"/>
        <v>0</v>
      </c>
      <c r="S41" s="53" t="s">
        <v>142</v>
      </c>
      <c r="T41" s="11"/>
      <c r="U41" s="68"/>
      <c r="V41" s="45">
        <f>IFERROR(VLOOKUP(T41,'Cost Master List'!$B$2:$P$74,12,),0)</f>
        <v>0</v>
      </c>
      <c r="W41" s="54">
        <f t="shared" si="60"/>
        <v>0</v>
      </c>
      <c r="Y41" s="53" t="s">
        <v>142</v>
      </c>
      <c r="Z41" s="11"/>
      <c r="AA41" s="68"/>
      <c r="AB41" s="45">
        <f>IFERROR(VLOOKUP(Z41,'Cost Master List'!$B$2:$P$74,12,),0)</f>
        <v>0</v>
      </c>
      <c r="AC41" s="54">
        <f t="shared" si="61"/>
        <v>0</v>
      </c>
      <c r="AE41" s="53" t="s">
        <v>142</v>
      </c>
      <c r="AF41" s="11"/>
      <c r="AG41" s="68"/>
      <c r="AH41" s="45">
        <f>IFERROR(VLOOKUP(AF41,'Cost Master List'!$B$2:$P$74,12,),0)</f>
        <v>0</v>
      </c>
      <c r="AI41" s="54">
        <f t="shared" si="62"/>
        <v>0</v>
      </c>
      <c r="AK41" s="53" t="s">
        <v>142</v>
      </c>
      <c r="AL41" s="11"/>
      <c r="AM41" s="68"/>
      <c r="AN41" s="45">
        <f>IFERROR(VLOOKUP(AL41,'Cost Master List'!$B$2:$P$74,12,),0)</f>
        <v>0</v>
      </c>
      <c r="AO41" s="54">
        <f t="shared" si="63"/>
        <v>0</v>
      </c>
      <c r="AQ41" s="53" t="s">
        <v>142</v>
      </c>
      <c r="AR41" s="11"/>
      <c r="AS41" s="68"/>
      <c r="AT41" s="45">
        <f>IFERROR(VLOOKUP(AR41,'Cost Master List'!$B$2:$P$74,12,),0)</f>
        <v>0</v>
      </c>
      <c r="AU41" s="54">
        <f t="shared" si="64"/>
        <v>0</v>
      </c>
      <c r="AW41" s="53" t="s">
        <v>142</v>
      </c>
      <c r="AX41" s="11"/>
      <c r="AY41" s="68"/>
      <c r="AZ41" s="45">
        <f>IFERROR(VLOOKUP(AX41,'Cost Master List'!$B$2:$P$74,12,),0)</f>
        <v>0</v>
      </c>
      <c r="BA41" s="54">
        <f t="shared" si="65"/>
        <v>0</v>
      </c>
    </row>
    <row r="42" spans="1:53" x14ac:dyDescent="0.25">
      <c r="A42" s="53" t="s">
        <v>143</v>
      </c>
      <c r="B42" s="11"/>
      <c r="C42" s="68"/>
      <c r="D42" s="45">
        <f>IFERROR(VLOOKUP(B42,'Cost Master List'!$B$2:$P$74,12,),0)</f>
        <v>0</v>
      </c>
      <c r="E42" s="54">
        <f t="shared" si="57"/>
        <v>0</v>
      </c>
      <c r="G42" s="53" t="s">
        <v>143</v>
      </c>
      <c r="H42" s="11"/>
      <c r="I42" s="68"/>
      <c r="J42" s="45">
        <f>IFERROR(VLOOKUP(H42,'Cost Master List'!$B$2:$P$74,12,),0)</f>
        <v>0</v>
      </c>
      <c r="K42" s="54">
        <f t="shared" si="58"/>
        <v>0</v>
      </c>
      <c r="M42" s="53" t="s">
        <v>143</v>
      </c>
      <c r="N42" s="11"/>
      <c r="O42" s="68"/>
      <c r="P42" s="45">
        <f>IFERROR(VLOOKUP(N42,'Cost Master List'!$B$2:$P$74,12,),0)</f>
        <v>0</v>
      </c>
      <c r="Q42" s="54">
        <f t="shared" si="59"/>
        <v>0</v>
      </c>
      <c r="S42" s="53" t="s">
        <v>143</v>
      </c>
      <c r="T42" s="11"/>
      <c r="U42" s="68"/>
      <c r="V42" s="45">
        <f>IFERROR(VLOOKUP(T42,'Cost Master List'!$B$2:$P$74,12,),0)</f>
        <v>0</v>
      </c>
      <c r="W42" s="54">
        <f t="shared" si="60"/>
        <v>0</v>
      </c>
      <c r="Y42" s="53" t="s">
        <v>143</v>
      </c>
      <c r="Z42" s="11"/>
      <c r="AA42" s="68"/>
      <c r="AB42" s="45">
        <f>IFERROR(VLOOKUP(Z42,'Cost Master List'!$B$2:$P$74,12,),0)</f>
        <v>0</v>
      </c>
      <c r="AC42" s="54">
        <f t="shared" si="61"/>
        <v>0</v>
      </c>
      <c r="AE42" s="53" t="s">
        <v>143</v>
      </c>
      <c r="AF42" s="11"/>
      <c r="AG42" s="68"/>
      <c r="AH42" s="45">
        <f>IFERROR(VLOOKUP(AF42,'Cost Master List'!$B$2:$P$74,12,),0)</f>
        <v>0</v>
      </c>
      <c r="AI42" s="54">
        <f t="shared" si="62"/>
        <v>0</v>
      </c>
      <c r="AK42" s="53" t="s">
        <v>143</v>
      </c>
      <c r="AL42" s="11"/>
      <c r="AM42" s="68"/>
      <c r="AN42" s="45">
        <f>IFERROR(VLOOKUP(AL42,'Cost Master List'!$B$2:$P$74,12,),0)</f>
        <v>0</v>
      </c>
      <c r="AO42" s="54">
        <f t="shared" si="63"/>
        <v>0</v>
      </c>
      <c r="AQ42" s="53" t="s">
        <v>143</v>
      </c>
      <c r="AR42" s="11"/>
      <c r="AS42" s="68"/>
      <c r="AT42" s="45">
        <f>IFERROR(VLOOKUP(AR42,'Cost Master List'!$B$2:$P$74,12,),0)</f>
        <v>0</v>
      </c>
      <c r="AU42" s="54">
        <f t="shared" si="64"/>
        <v>0</v>
      </c>
      <c r="AW42" s="53" t="s">
        <v>143</v>
      </c>
      <c r="AX42" s="11"/>
      <c r="AY42" s="68"/>
      <c r="AZ42" s="45">
        <f>IFERROR(VLOOKUP(AX42,'Cost Master List'!$B$2:$P$74,12,),0)</f>
        <v>0</v>
      </c>
      <c r="BA42" s="54">
        <f t="shared" si="65"/>
        <v>0</v>
      </c>
    </row>
    <row r="43" spans="1:53" x14ac:dyDescent="0.25">
      <c r="A43" s="55" t="s">
        <v>144</v>
      </c>
      <c r="B43" s="11"/>
      <c r="C43" s="69"/>
      <c r="D43" s="46">
        <f>IFERROR(VLOOKUP(B43,'Cost Master List'!$B$2:$P$74,12,),0)</f>
        <v>0</v>
      </c>
      <c r="E43" s="56">
        <f t="shared" si="57"/>
        <v>0</v>
      </c>
      <c r="G43" s="55" t="s">
        <v>144</v>
      </c>
      <c r="H43" s="11"/>
      <c r="I43" s="69"/>
      <c r="J43" s="46">
        <f>IFERROR(VLOOKUP(H43,'Cost Master List'!$B$2:$P$74,12,),0)</f>
        <v>0</v>
      </c>
      <c r="K43" s="56">
        <f t="shared" si="58"/>
        <v>0</v>
      </c>
      <c r="M43" s="55" t="s">
        <v>144</v>
      </c>
      <c r="N43" s="11"/>
      <c r="O43" s="69"/>
      <c r="P43" s="46">
        <f>IFERROR(VLOOKUP(N43,'Cost Master List'!$B$2:$P$74,12,),0)</f>
        <v>0</v>
      </c>
      <c r="Q43" s="56">
        <f t="shared" si="59"/>
        <v>0</v>
      </c>
      <c r="S43" s="55" t="s">
        <v>144</v>
      </c>
      <c r="T43" s="11"/>
      <c r="U43" s="69"/>
      <c r="V43" s="46">
        <f>IFERROR(VLOOKUP(T43,'Cost Master List'!$B$2:$P$74,12,),0)</f>
        <v>0</v>
      </c>
      <c r="W43" s="56">
        <f t="shared" si="60"/>
        <v>0</v>
      </c>
      <c r="Y43" s="55" t="s">
        <v>144</v>
      </c>
      <c r="Z43" s="11"/>
      <c r="AA43" s="69"/>
      <c r="AB43" s="46">
        <f>IFERROR(VLOOKUP(Z43,'Cost Master List'!$B$2:$P$74,12,),0)</f>
        <v>0</v>
      </c>
      <c r="AC43" s="56">
        <f t="shared" si="61"/>
        <v>0</v>
      </c>
      <c r="AE43" s="55" t="s">
        <v>144</v>
      </c>
      <c r="AF43" s="11"/>
      <c r="AG43" s="69"/>
      <c r="AH43" s="46">
        <f>IFERROR(VLOOKUP(AF43,'Cost Master List'!$B$2:$P$74,12,),0)</f>
        <v>0</v>
      </c>
      <c r="AI43" s="56">
        <f t="shared" si="62"/>
        <v>0</v>
      </c>
      <c r="AK43" s="55" t="s">
        <v>144</v>
      </c>
      <c r="AL43" s="11"/>
      <c r="AM43" s="69"/>
      <c r="AN43" s="46">
        <f>IFERROR(VLOOKUP(AL43,'Cost Master List'!$B$2:$P$74,12,),0)</f>
        <v>0</v>
      </c>
      <c r="AO43" s="56">
        <f t="shared" si="63"/>
        <v>0</v>
      </c>
      <c r="AQ43" s="55" t="s">
        <v>144</v>
      </c>
      <c r="AR43" s="11"/>
      <c r="AS43" s="69"/>
      <c r="AT43" s="46">
        <f>IFERROR(VLOOKUP(AR43,'Cost Master List'!$B$2:$P$74,12,),0)</f>
        <v>0</v>
      </c>
      <c r="AU43" s="56">
        <f t="shared" si="64"/>
        <v>0</v>
      </c>
      <c r="AW43" s="55" t="s">
        <v>144</v>
      </c>
      <c r="AX43" s="11"/>
      <c r="AY43" s="69"/>
      <c r="AZ43" s="46">
        <f>IFERROR(VLOOKUP(AX43,'Cost Master List'!$B$2:$P$74,12,),0)</f>
        <v>0</v>
      </c>
      <c r="BA43" s="56">
        <f t="shared" si="65"/>
        <v>0</v>
      </c>
    </row>
    <row r="44" spans="1:53" x14ac:dyDescent="0.25">
      <c r="A44" s="51" t="s">
        <v>145</v>
      </c>
      <c r="B44" s="10" t="s">
        <v>186</v>
      </c>
      <c r="C44" s="8"/>
      <c r="D44" s="45">
        <f>IFERROR(VLOOKUP('Manufactured Items Models'!B44,'Cost Master List'!$B$84:$L$98,11,FALSE),0)</f>
        <v>1.6</v>
      </c>
      <c r="E44" s="54">
        <f>+D44/$A$38</f>
        <v>0.2</v>
      </c>
      <c r="G44" s="51" t="s">
        <v>145</v>
      </c>
      <c r="H44" s="10"/>
      <c r="I44" s="8"/>
      <c r="J44" s="45">
        <f>IFERROR(VLOOKUP('Manufactured Items Models'!H44,'Cost Master List'!$B$84:$L$98,11,FALSE),0)</f>
        <v>0</v>
      </c>
      <c r="K44" s="54">
        <f>+J44/$G$14</f>
        <v>0</v>
      </c>
      <c r="M44" s="51" t="s">
        <v>145</v>
      </c>
      <c r="N44" s="10"/>
      <c r="O44" s="8"/>
      <c r="P44" s="45">
        <f>IFERROR(VLOOKUP('Manufactured Items Models'!N44,'Cost Master List'!$B$84:$L$98,11,FALSE),0)</f>
        <v>0</v>
      </c>
      <c r="Q44" s="54">
        <f>+P44/$G$14</f>
        <v>0</v>
      </c>
      <c r="S44" s="51" t="s">
        <v>145</v>
      </c>
      <c r="T44" s="10"/>
      <c r="U44" s="8"/>
      <c r="V44" s="45">
        <f>IFERROR(VLOOKUP('Manufactured Items Models'!T44,'Cost Master List'!$B$84:$L$98,11,FALSE),0)</f>
        <v>0</v>
      </c>
      <c r="W44" s="54">
        <f>+V44/$G$14</f>
        <v>0</v>
      </c>
      <c r="Y44" s="51" t="s">
        <v>145</v>
      </c>
      <c r="Z44" s="10"/>
      <c r="AA44" s="8"/>
      <c r="AB44" s="45">
        <f>IFERROR(VLOOKUP('Manufactured Items Models'!Z44,'Cost Master List'!$B$84:$L$98,11,FALSE),0)</f>
        <v>0</v>
      </c>
      <c r="AC44" s="54">
        <f>+AB44/$G$14</f>
        <v>0</v>
      </c>
      <c r="AE44" s="51" t="s">
        <v>145</v>
      </c>
      <c r="AF44" s="10"/>
      <c r="AG44" s="8"/>
      <c r="AH44" s="45">
        <f>IFERROR(VLOOKUP('Manufactured Items Models'!AF44,'Cost Master List'!$B$84:$L$98,11,FALSE),0)</f>
        <v>0</v>
      </c>
      <c r="AI44" s="54">
        <f>+AH44/$G$14</f>
        <v>0</v>
      </c>
      <c r="AK44" s="51" t="s">
        <v>145</v>
      </c>
      <c r="AL44" s="10"/>
      <c r="AM44" s="8"/>
      <c r="AN44" s="45">
        <f>IFERROR(VLOOKUP('Manufactured Items Models'!AL44,'Cost Master List'!$B$84:$L$98,11,FALSE),0)</f>
        <v>0</v>
      </c>
      <c r="AO44" s="54">
        <f>+AN44/$G$14</f>
        <v>0</v>
      </c>
      <c r="AQ44" s="51" t="s">
        <v>145</v>
      </c>
      <c r="AR44" s="10"/>
      <c r="AS44" s="8"/>
      <c r="AT44" s="45">
        <f>IFERROR(VLOOKUP('Manufactured Items Models'!AR44,'Cost Master List'!$B$84:$L$98,11,FALSE),0)</f>
        <v>0</v>
      </c>
      <c r="AU44" s="54">
        <f>+AT44/$G$14</f>
        <v>0</v>
      </c>
      <c r="AW44" s="51" t="s">
        <v>145</v>
      </c>
      <c r="AX44" s="10"/>
      <c r="AY44" s="8"/>
      <c r="AZ44" s="45">
        <f>IFERROR(VLOOKUP('Manufactured Items Models'!AX44,'Cost Master List'!$B$84:$L$98,11,FALSE),0)</f>
        <v>0</v>
      </c>
      <c r="BA44" s="54">
        <f>+AZ44/$G$14</f>
        <v>0</v>
      </c>
    </row>
    <row r="45" spans="1:53" x14ac:dyDescent="0.25">
      <c r="A45" s="53" t="s">
        <v>146</v>
      </c>
      <c r="B45" s="11"/>
      <c r="D45" s="45">
        <f>IFERROR(VLOOKUP('Manufactured Items Models'!B45,'Cost Master List'!$B$84:$L$98,11,FALSE),0)</f>
        <v>0</v>
      </c>
      <c r="E45" s="54">
        <f>+D45/$A$38</f>
        <v>0</v>
      </c>
      <c r="G45" s="53" t="s">
        <v>146</v>
      </c>
      <c r="H45" s="11"/>
      <c r="J45" s="45">
        <f>IFERROR(VLOOKUP('Manufactured Items Models'!H45,'Cost Master List'!$B$84:$L$98,11,FALSE),0)</f>
        <v>0</v>
      </c>
      <c r="K45" s="54">
        <f t="shared" ref="K45:K46" si="66">+J45/$G$14</f>
        <v>0</v>
      </c>
      <c r="M45" s="53" t="s">
        <v>146</v>
      </c>
      <c r="N45" s="11"/>
      <c r="P45" s="45">
        <f>IFERROR(VLOOKUP('Manufactured Items Models'!N45,'Cost Master List'!$B$84:$L$98,11,FALSE),0)</f>
        <v>0</v>
      </c>
      <c r="Q45" s="54">
        <f t="shared" ref="Q45:Q46" si="67">+P45/$G$14</f>
        <v>0</v>
      </c>
      <c r="S45" s="53" t="s">
        <v>146</v>
      </c>
      <c r="T45" s="11"/>
      <c r="V45" s="45">
        <f>IFERROR(VLOOKUP('Manufactured Items Models'!T45,'Cost Master List'!$B$84:$L$98,11,FALSE),0)</f>
        <v>0</v>
      </c>
      <c r="W45" s="54">
        <f t="shared" ref="W45:W46" si="68">+V45/$G$14</f>
        <v>0</v>
      </c>
      <c r="Y45" s="53" t="s">
        <v>146</v>
      </c>
      <c r="Z45" s="11"/>
      <c r="AB45" s="45">
        <f>IFERROR(VLOOKUP('Manufactured Items Models'!Z45,'Cost Master List'!$B$84:$L$98,11,FALSE),0)</f>
        <v>0</v>
      </c>
      <c r="AC45" s="54">
        <f t="shared" ref="AC45:AC46" si="69">+AB45/$G$14</f>
        <v>0</v>
      </c>
      <c r="AE45" s="53" t="s">
        <v>146</v>
      </c>
      <c r="AF45" s="11"/>
      <c r="AH45" s="45">
        <f>IFERROR(VLOOKUP('Manufactured Items Models'!AF45,'Cost Master List'!$B$84:$L$98,11,FALSE),0)</f>
        <v>0</v>
      </c>
      <c r="AI45" s="54">
        <f t="shared" ref="AI45:AI46" si="70">+AH45/$G$14</f>
        <v>0</v>
      </c>
      <c r="AK45" s="53" t="s">
        <v>146</v>
      </c>
      <c r="AL45" s="11"/>
      <c r="AN45" s="45">
        <f>IFERROR(VLOOKUP('Manufactured Items Models'!AL45,'Cost Master List'!$B$84:$L$98,11,FALSE),0)</f>
        <v>0</v>
      </c>
      <c r="AO45" s="54">
        <f t="shared" ref="AO45:AO46" si="71">+AN45/$G$14</f>
        <v>0</v>
      </c>
      <c r="AQ45" s="53" t="s">
        <v>146</v>
      </c>
      <c r="AR45" s="11"/>
      <c r="AT45" s="45">
        <f>IFERROR(VLOOKUP('Manufactured Items Models'!AR45,'Cost Master List'!$B$84:$L$98,11,FALSE),0)</f>
        <v>0</v>
      </c>
      <c r="AU45" s="54">
        <f t="shared" ref="AU45:AU46" si="72">+AT45/$G$14</f>
        <v>0</v>
      </c>
      <c r="AW45" s="53" t="s">
        <v>146</v>
      </c>
      <c r="AX45" s="11"/>
      <c r="AZ45" s="45">
        <f>IFERROR(VLOOKUP('Manufactured Items Models'!AX45,'Cost Master List'!$B$84:$L$98,11,FALSE),0)</f>
        <v>0</v>
      </c>
      <c r="BA45" s="54">
        <f t="shared" ref="BA45:BA46" si="73">+AZ45/$G$14</f>
        <v>0</v>
      </c>
    </row>
    <row r="46" spans="1:53" x14ac:dyDescent="0.25">
      <c r="A46" s="55" t="s">
        <v>147</v>
      </c>
      <c r="B46" s="12"/>
      <c r="C46" s="9"/>
      <c r="D46" s="45">
        <f>IFERROR(VLOOKUP('Manufactured Items Models'!B46,'Cost Master List'!$B$84:$L$98,11,FALSE),0)</f>
        <v>0</v>
      </c>
      <c r="E46" s="54">
        <f>+D46/$A$38</f>
        <v>0</v>
      </c>
      <c r="G46" s="55" t="s">
        <v>147</v>
      </c>
      <c r="H46" s="12"/>
      <c r="I46" s="9"/>
      <c r="J46" s="45">
        <f>IFERROR(VLOOKUP('Manufactured Items Models'!H46,'Cost Master List'!$B$84:$L$98,11,FALSE),0)</f>
        <v>0</v>
      </c>
      <c r="K46" s="54">
        <f t="shared" si="66"/>
        <v>0</v>
      </c>
      <c r="M46" s="55" t="s">
        <v>147</v>
      </c>
      <c r="N46" s="12"/>
      <c r="O46" s="9"/>
      <c r="P46" s="45">
        <f>IFERROR(VLOOKUP('Manufactured Items Models'!N46,'Cost Master List'!$B$84:$L$98,11,FALSE),0)</f>
        <v>0</v>
      </c>
      <c r="Q46" s="54">
        <f t="shared" si="67"/>
        <v>0</v>
      </c>
      <c r="S46" s="55" t="s">
        <v>147</v>
      </c>
      <c r="T46" s="12"/>
      <c r="U46" s="9"/>
      <c r="V46" s="45">
        <f>IFERROR(VLOOKUP('Manufactured Items Models'!T46,'Cost Master List'!$B$84:$L$98,11,FALSE),0)</f>
        <v>0</v>
      </c>
      <c r="W46" s="54">
        <f t="shared" si="68"/>
        <v>0</v>
      </c>
      <c r="Y46" s="55" t="s">
        <v>147</v>
      </c>
      <c r="Z46" s="12"/>
      <c r="AA46" s="9"/>
      <c r="AB46" s="45">
        <f>IFERROR(VLOOKUP('Manufactured Items Models'!Z46,'Cost Master List'!$B$84:$L$98,11,FALSE),0)</f>
        <v>0</v>
      </c>
      <c r="AC46" s="54">
        <f t="shared" si="69"/>
        <v>0</v>
      </c>
      <c r="AE46" s="55" t="s">
        <v>147</v>
      </c>
      <c r="AF46" s="12"/>
      <c r="AG46" s="9"/>
      <c r="AH46" s="45">
        <f>IFERROR(VLOOKUP('Manufactured Items Models'!AF46,'Cost Master List'!$B$84:$L$98,11,FALSE),0)</f>
        <v>0</v>
      </c>
      <c r="AI46" s="54">
        <f t="shared" si="70"/>
        <v>0</v>
      </c>
      <c r="AK46" s="55" t="s">
        <v>147</v>
      </c>
      <c r="AL46" s="12"/>
      <c r="AM46" s="9"/>
      <c r="AN46" s="45">
        <f>IFERROR(VLOOKUP('Manufactured Items Models'!AL46,'Cost Master List'!$B$84:$L$98,11,FALSE),0)</f>
        <v>0</v>
      </c>
      <c r="AO46" s="54">
        <f t="shared" si="71"/>
        <v>0</v>
      </c>
      <c r="AQ46" s="55" t="s">
        <v>147</v>
      </c>
      <c r="AR46" s="12"/>
      <c r="AS46" s="9"/>
      <c r="AT46" s="45">
        <f>IFERROR(VLOOKUP('Manufactured Items Models'!AR46,'Cost Master List'!$B$84:$L$98,11,FALSE),0)</f>
        <v>0</v>
      </c>
      <c r="AU46" s="54">
        <f t="shared" si="72"/>
        <v>0</v>
      </c>
      <c r="AW46" s="55" t="s">
        <v>147</v>
      </c>
      <c r="AX46" s="12"/>
      <c r="AY46" s="9"/>
      <c r="AZ46" s="45">
        <f>IFERROR(VLOOKUP('Manufactured Items Models'!AX46,'Cost Master List'!$B$84:$L$98,11,FALSE),0)</f>
        <v>0</v>
      </c>
      <c r="BA46" s="54">
        <f t="shared" si="73"/>
        <v>0</v>
      </c>
    </row>
    <row r="47" spans="1:53" x14ac:dyDescent="0.25">
      <c r="A47" s="57" t="s">
        <v>148</v>
      </c>
      <c r="B47" s="47"/>
      <c r="C47" s="47"/>
      <c r="D47" s="47"/>
      <c r="E47" s="58">
        <v>1</v>
      </c>
      <c r="G47" s="57" t="s">
        <v>148</v>
      </c>
      <c r="H47" s="47"/>
      <c r="I47" s="47"/>
      <c r="J47" s="47"/>
      <c r="K47" s="58">
        <v>1</v>
      </c>
      <c r="M47" s="57" t="s">
        <v>148</v>
      </c>
      <c r="N47" s="47"/>
      <c r="O47" s="47"/>
      <c r="P47" s="47"/>
      <c r="Q47" s="58">
        <v>1</v>
      </c>
      <c r="S47" s="57" t="s">
        <v>148</v>
      </c>
      <c r="T47" s="47"/>
      <c r="U47" s="47"/>
      <c r="V47" s="47"/>
      <c r="W47" s="58">
        <v>1</v>
      </c>
      <c r="Y47" s="57" t="s">
        <v>148</v>
      </c>
      <c r="Z47" s="47"/>
      <c r="AA47" s="47"/>
      <c r="AB47" s="47"/>
      <c r="AC47" s="58">
        <v>1</v>
      </c>
      <c r="AE47" s="57" t="s">
        <v>148</v>
      </c>
      <c r="AF47" s="47"/>
      <c r="AG47" s="47"/>
      <c r="AH47" s="47"/>
      <c r="AI47" s="58">
        <v>1</v>
      </c>
      <c r="AK47" s="57" t="s">
        <v>148</v>
      </c>
      <c r="AL47" s="47"/>
      <c r="AM47" s="47"/>
      <c r="AN47" s="47"/>
      <c r="AO47" s="58">
        <v>1</v>
      </c>
      <c r="AQ47" s="57" t="s">
        <v>148</v>
      </c>
      <c r="AR47" s="47"/>
      <c r="AS47" s="47"/>
      <c r="AT47" s="47"/>
      <c r="AU47" s="58">
        <v>1</v>
      </c>
      <c r="AW47" s="57" t="s">
        <v>148</v>
      </c>
      <c r="AX47" s="47"/>
      <c r="AY47" s="47"/>
      <c r="AZ47" s="47"/>
      <c r="BA47" s="58">
        <v>1</v>
      </c>
    </row>
    <row r="48" spans="1:53" ht="15.75" thickBot="1" x14ac:dyDescent="0.3">
      <c r="A48" s="60"/>
      <c r="B48" s="84" t="s">
        <v>328</v>
      </c>
      <c r="C48" s="61"/>
      <c r="D48" s="61" t="s">
        <v>185</v>
      </c>
      <c r="E48" s="62">
        <f>+SUM(E39:E47)</f>
        <v>2.661294917037857</v>
      </c>
      <c r="G48" s="60"/>
      <c r="H48" s="84"/>
      <c r="I48" s="61"/>
      <c r="J48" s="61" t="s">
        <v>185</v>
      </c>
      <c r="K48" s="62">
        <f>+SUM(K39:K47)</f>
        <v>1</v>
      </c>
      <c r="M48" s="60"/>
      <c r="N48" s="84"/>
      <c r="O48" s="61"/>
      <c r="P48" s="61" t="s">
        <v>185</v>
      </c>
      <c r="Q48" s="62">
        <f>+SUM(Q39:Q47)</f>
        <v>1</v>
      </c>
      <c r="S48" s="60"/>
      <c r="T48" s="84"/>
      <c r="U48" s="61"/>
      <c r="V48" s="61" t="s">
        <v>185</v>
      </c>
      <c r="W48" s="62">
        <f>+SUM(W39:W47)</f>
        <v>1</v>
      </c>
      <c r="Y48" s="60"/>
      <c r="Z48" s="84"/>
      <c r="AA48" s="61"/>
      <c r="AB48" s="61" t="s">
        <v>185</v>
      </c>
      <c r="AC48" s="62">
        <f>+SUM(AC39:AC47)</f>
        <v>1</v>
      </c>
      <c r="AE48" s="60"/>
      <c r="AF48" s="84"/>
      <c r="AG48" s="61"/>
      <c r="AH48" s="61" t="s">
        <v>185</v>
      </c>
      <c r="AI48" s="62">
        <f>+SUM(AI39:AI47)</f>
        <v>1</v>
      </c>
      <c r="AK48" s="57"/>
      <c r="AL48" s="47"/>
      <c r="AM48" s="47"/>
      <c r="AN48" s="47" t="s">
        <v>185</v>
      </c>
      <c r="AO48" s="59">
        <f>+SUM(AO39:AO47)</f>
        <v>1</v>
      </c>
      <c r="AQ48" s="57"/>
      <c r="AR48" s="47"/>
      <c r="AS48" s="47"/>
      <c r="AT48" s="47" t="s">
        <v>185</v>
      </c>
      <c r="AU48" s="59">
        <f>+SUM(AU39:AU47)</f>
        <v>1</v>
      </c>
      <c r="AW48" s="57"/>
      <c r="AX48" s="47"/>
      <c r="AY48" s="47"/>
      <c r="AZ48" s="47" t="s">
        <v>185</v>
      </c>
      <c r="BA48" s="59">
        <f>+SUM(BA39:BA47)</f>
        <v>1</v>
      </c>
    </row>
    <row r="49" spans="1:53" x14ac:dyDescent="0.25">
      <c r="A49" s="64"/>
      <c r="B49" s="63"/>
      <c r="C49" s="63"/>
      <c r="D49" s="63"/>
      <c r="E49" s="65"/>
      <c r="G49" s="64"/>
      <c r="H49" s="63"/>
      <c r="I49" s="63"/>
      <c r="J49" s="63"/>
      <c r="K49" s="65"/>
      <c r="M49" s="64"/>
      <c r="N49" s="63"/>
      <c r="O49" s="63"/>
      <c r="P49" s="63"/>
      <c r="Q49" s="65"/>
      <c r="S49" s="64"/>
      <c r="T49" s="63"/>
      <c r="U49" s="63"/>
      <c r="V49" s="63"/>
      <c r="W49" s="65"/>
      <c r="Y49" s="64"/>
      <c r="Z49" s="63"/>
      <c r="AA49" s="63"/>
      <c r="AB49" s="63"/>
      <c r="AC49" s="65"/>
      <c r="AE49" s="64"/>
      <c r="AF49" s="63"/>
      <c r="AG49" s="63"/>
      <c r="AH49" s="63"/>
      <c r="AI49" s="65"/>
      <c r="AK49" s="64"/>
      <c r="AL49" s="63"/>
      <c r="AM49" s="63"/>
      <c r="AN49" s="63"/>
      <c r="AO49" s="65"/>
      <c r="AQ49" s="64"/>
      <c r="AR49" s="63"/>
      <c r="AS49" s="63"/>
      <c r="AT49" s="63"/>
      <c r="AU49" s="65"/>
      <c r="AW49" s="64"/>
      <c r="AX49" s="63"/>
      <c r="AY49" s="63"/>
      <c r="AZ49" s="63"/>
      <c r="BA49" s="65"/>
    </row>
    <row r="50" spans="1:53" x14ac:dyDescent="0.25">
      <c r="A50" s="48">
        <v>44</v>
      </c>
      <c r="B50" s="82" t="s">
        <v>194</v>
      </c>
      <c r="C50" s="6" t="s">
        <v>138</v>
      </c>
      <c r="D50" s="6" t="s">
        <v>23</v>
      </c>
      <c r="E50" s="50" t="s">
        <v>139</v>
      </c>
      <c r="G50" s="48"/>
      <c r="H50" s="82"/>
      <c r="I50" s="6" t="s">
        <v>138</v>
      </c>
      <c r="J50" s="6" t="s">
        <v>23</v>
      </c>
      <c r="K50" s="50" t="s">
        <v>139</v>
      </c>
      <c r="M50" s="48"/>
      <c r="N50" s="82"/>
      <c r="O50" s="6" t="s">
        <v>138</v>
      </c>
      <c r="P50" s="6" t="s">
        <v>23</v>
      </c>
      <c r="Q50" s="50" t="s">
        <v>139</v>
      </c>
      <c r="S50" s="48"/>
      <c r="T50" s="82"/>
      <c r="U50" s="6" t="s">
        <v>138</v>
      </c>
      <c r="V50" s="6" t="s">
        <v>23</v>
      </c>
      <c r="W50" s="50" t="s">
        <v>139</v>
      </c>
      <c r="Y50" s="48"/>
      <c r="Z50" s="82"/>
      <c r="AA50" s="6" t="s">
        <v>138</v>
      </c>
      <c r="AB50" s="6" t="s">
        <v>23</v>
      </c>
      <c r="AC50" s="50" t="s">
        <v>139</v>
      </c>
      <c r="AE50" s="48"/>
      <c r="AF50" s="82"/>
      <c r="AG50" s="6" t="s">
        <v>138</v>
      </c>
      <c r="AH50" s="6" t="s">
        <v>23</v>
      </c>
      <c r="AI50" s="50" t="s">
        <v>139</v>
      </c>
      <c r="AK50" s="48"/>
      <c r="AL50" s="82"/>
      <c r="AM50" s="6" t="s">
        <v>138</v>
      </c>
      <c r="AN50" s="6" t="s">
        <v>23</v>
      </c>
      <c r="AO50" s="50" t="s">
        <v>139</v>
      </c>
      <c r="AQ50" s="48"/>
      <c r="AR50" s="82"/>
      <c r="AS50" s="6" t="s">
        <v>138</v>
      </c>
      <c r="AT50" s="6" t="s">
        <v>23</v>
      </c>
      <c r="AU50" s="50" t="s">
        <v>139</v>
      </c>
      <c r="AW50" s="48"/>
      <c r="AX50" s="82"/>
      <c r="AY50" s="6" t="s">
        <v>138</v>
      </c>
      <c r="AZ50" s="6" t="s">
        <v>23</v>
      </c>
      <c r="BA50" s="50" t="s">
        <v>139</v>
      </c>
    </row>
    <row r="51" spans="1:53" x14ac:dyDescent="0.25">
      <c r="A51" s="51" t="s">
        <v>140</v>
      </c>
      <c r="B51" s="10" t="s">
        <v>303</v>
      </c>
      <c r="C51" s="67">
        <v>0.21</v>
      </c>
      <c r="D51" s="44">
        <f>IFERROR(VLOOKUP(B51,'Cost Master List'!$B$2:$P$74,12,),0)</f>
        <v>6.1053605610037103</v>
      </c>
      <c r="E51" s="52">
        <f>+D51*C51</f>
        <v>1.2821257178107792</v>
      </c>
      <c r="G51" s="51" t="s">
        <v>140</v>
      </c>
      <c r="H51" s="10"/>
      <c r="I51" s="67"/>
      <c r="J51" s="44">
        <f>IFERROR(VLOOKUP(H51,'Cost Master List'!$B$2:$P$74,12,),0)</f>
        <v>0</v>
      </c>
      <c r="K51" s="52">
        <f>+J51*I51</f>
        <v>0</v>
      </c>
      <c r="M51" s="51" t="s">
        <v>140</v>
      </c>
      <c r="N51" s="10"/>
      <c r="O51" s="67"/>
      <c r="P51" s="44">
        <f>IFERROR(VLOOKUP(N51,'Cost Master List'!$B$2:$P$74,12,),0)</f>
        <v>0</v>
      </c>
      <c r="Q51" s="52">
        <f>+P51*O51</f>
        <v>0</v>
      </c>
      <c r="S51" s="51" t="s">
        <v>140</v>
      </c>
      <c r="T51" s="10"/>
      <c r="U51" s="67"/>
      <c r="V51" s="44">
        <f>IFERROR(VLOOKUP(T51,'Cost Master List'!$B$2:$P$74,12,),0)</f>
        <v>0</v>
      </c>
      <c r="W51" s="52">
        <f>+V51*U51</f>
        <v>0</v>
      </c>
      <c r="Y51" s="51" t="s">
        <v>140</v>
      </c>
      <c r="Z51" s="10"/>
      <c r="AA51" s="67"/>
      <c r="AB51" s="44">
        <f>IFERROR(VLOOKUP(Z51,'Cost Master List'!$B$2:$P$74,12,),0)</f>
        <v>0</v>
      </c>
      <c r="AC51" s="52">
        <f>+AB51*AA51</f>
        <v>0</v>
      </c>
      <c r="AE51" s="51" t="s">
        <v>140</v>
      </c>
      <c r="AF51" s="10"/>
      <c r="AG51" s="67"/>
      <c r="AH51" s="44">
        <f>IFERROR(VLOOKUP(AF51,'Cost Master List'!$B$2:$P$74,12,),0)</f>
        <v>0</v>
      </c>
      <c r="AI51" s="52">
        <f>+AH51*AG51</f>
        <v>0</v>
      </c>
      <c r="AK51" s="51" t="s">
        <v>140</v>
      </c>
      <c r="AL51" s="10"/>
      <c r="AM51" s="67"/>
      <c r="AN51" s="44">
        <f>IFERROR(VLOOKUP(AL51,'Cost Master List'!$B$2:$P$74,12,),0)</f>
        <v>0</v>
      </c>
      <c r="AO51" s="52">
        <f>+AN51*AM51</f>
        <v>0</v>
      </c>
      <c r="AQ51" s="51" t="s">
        <v>140</v>
      </c>
      <c r="AR51" s="10"/>
      <c r="AS51" s="67"/>
      <c r="AT51" s="44">
        <f>IFERROR(VLOOKUP(AR51,'Cost Master List'!$B$2:$P$74,12,),0)</f>
        <v>0</v>
      </c>
      <c r="AU51" s="52">
        <f>+AT51*AS51</f>
        <v>0</v>
      </c>
      <c r="AW51" s="51" t="s">
        <v>140</v>
      </c>
      <c r="AX51" s="10"/>
      <c r="AY51" s="67"/>
      <c r="AZ51" s="44">
        <f>IFERROR(VLOOKUP(AX51,'Cost Master List'!$B$2:$P$74,12,),0)</f>
        <v>0</v>
      </c>
      <c r="BA51" s="52">
        <f>+AZ51*AY51</f>
        <v>0</v>
      </c>
    </row>
    <row r="52" spans="1:53" x14ac:dyDescent="0.25">
      <c r="A52" s="53" t="s">
        <v>141</v>
      </c>
      <c r="B52" s="11" t="s">
        <v>198</v>
      </c>
      <c r="C52" s="68">
        <v>0.79</v>
      </c>
      <c r="D52" s="45">
        <f>IFERROR(VLOOKUP(B52,'Cost Master List'!$B$2:$P$74,12,),0)</f>
        <v>0.22679645471781987</v>
      </c>
      <c r="E52" s="54">
        <f t="shared" ref="E52:E55" si="74">+D52*C52</f>
        <v>0.17916919922707769</v>
      </c>
      <c r="G52" s="53" t="s">
        <v>141</v>
      </c>
      <c r="H52" s="11"/>
      <c r="I52" s="68"/>
      <c r="J52" s="45">
        <f>IFERROR(VLOOKUP(H52,'Cost Master List'!$B$2:$P$74,12,),0)</f>
        <v>0</v>
      </c>
      <c r="K52" s="54">
        <f t="shared" ref="K52:K55" si="75">+J52*I52</f>
        <v>0</v>
      </c>
      <c r="M52" s="53" t="s">
        <v>141</v>
      </c>
      <c r="N52" s="11"/>
      <c r="O52" s="68"/>
      <c r="P52" s="45">
        <f>IFERROR(VLOOKUP(N52,'Cost Master List'!$B$2:$P$74,12,),0)</f>
        <v>0</v>
      </c>
      <c r="Q52" s="54">
        <f t="shared" ref="Q52:Q55" si="76">+P52*O52</f>
        <v>0</v>
      </c>
      <c r="S52" s="53" t="s">
        <v>141</v>
      </c>
      <c r="T52" s="11"/>
      <c r="U52" s="68"/>
      <c r="V52" s="45">
        <f>IFERROR(VLOOKUP(T52,'Cost Master List'!$B$2:$P$74,12,),0)</f>
        <v>0</v>
      </c>
      <c r="W52" s="54">
        <f t="shared" ref="W52:W55" si="77">+V52*U52</f>
        <v>0</v>
      </c>
      <c r="Y52" s="53" t="s">
        <v>141</v>
      </c>
      <c r="Z52" s="11"/>
      <c r="AA52" s="68"/>
      <c r="AB52" s="45">
        <f>IFERROR(VLOOKUP(Z52,'Cost Master List'!$B$2:$P$74,12,),0)</f>
        <v>0</v>
      </c>
      <c r="AC52" s="54">
        <f t="shared" ref="AC52:AC55" si="78">+AB52*AA52</f>
        <v>0</v>
      </c>
      <c r="AE52" s="53" t="s">
        <v>141</v>
      </c>
      <c r="AF52" s="11"/>
      <c r="AG52" s="68"/>
      <c r="AH52" s="45">
        <f>IFERROR(VLOOKUP(AF52,'Cost Master List'!$B$2:$P$74,12,),0)</f>
        <v>0</v>
      </c>
      <c r="AI52" s="54">
        <f t="shared" ref="AI52:AI55" si="79">+AH52*AG52</f>
        <v>0</v>
      </c>
      <c r="AK52" s="53" t="s">
        <v>141</v>
      </c>
      <c r="AL52" s="11"/>
      <c r="AM52" s="68"/>
      <c r="AN52" s="45">
        <f>IFERROR(VLOOKUP(AL52,'Cost Master List'!$B$2:$P$74,12,),0)</f>
        <v>0</v>
      </c>
      <c r="AO52" s="54">
        <f t="shared" ref="AO52:AO55" si="80">+AN52*AM52</f>
        <v>0</v>
      </c>
      <c r="AQ52" s="53" t="s">
        <v>141</v>
      </c>
      <c r="AR52" s="11"/>
      <c r="AS52" s="68"/>
      <c r="AT52" s="45">
        <f>IFERROR(VLOOKUP(AR52,'Cost Master List'!$B$2:$P$74,12,),0)</f>
        <v>0</v>
      </c>
      <c r="AU52" s="54">
        <f t="shared" ref="AU52:AU55" si="81">+AT52*AS52</f>
        <v>0</v>
      </c>
      <c r="AW52" s="53" t="s">
        <v>141</v>
      </c>
      <c r="AX52" s="11"/>
      <c r="AY52" s="68"/>
      <c r="AZ52" s="45">
        <f>IFERROR(VLOOKUP(AX52,'Cost Master List'!$B$2:$P$74,12,),0)</f>
        <v>0</v>
      </c>
      <c r="BA52" s="54">
        <f t="shared" ref="BA52:BA55" si="82">+AZ52*AY52</f>
        <v>0</v>
      </c>
    </row>
    <row r="53" spans="1:53" x14ac:dyDescent="0.25">
      <c r="A53" s="53" t="s">
        <v>142</v>
      </c>
      <c r="B53" s="11"/>
      <c r="C53" s="68"/>
      <c r="D53" s="45">
        <f>IFERROR(VLOOKUP(B53,'Cost Master List'!$B$2:$P$74,12,),0)</f>
        <v>0</v>
      </c>
      <c r="E53" s="54">
        <f t="shared" si="74"/>
        <v>0</v>
      </c>
      <c r="G53" s="53" t="s">
        <v>142</v>
      </c>
      <c r="H53" s="11"/>
      <c r="I53" s="68"/>
      <c r="J53" s="45">
        <f>IFERROR(VLOOKUP(H53,'Cost Master List'!$B$2:$P$74,12,),0)</f>
        <v>0</v>
      </c>
      <c r="K53" s="54">
        <f t="shared" si="75"/>
        <v>0</v>
      </c>
      <c r="M53" s="53" t="s">
        <v>142</v>
      </c>
      <c r="N53" s="11"/>
      <c r="O53" s="68"/>
      <c r="P53" s="45">
        <f>IFERROR(VLOOKUP(N53,'Cost Master List'!$B$2:$P$74,12,),0)</f>
        <v>0</v>
      </c>
      <c r="Q53" s="54">
        <f t="shared" si="76"/>
        <v>0</v>
      </c>
      <c r="S53" s="53" t="s">
        <v>142</v>
      </c>
      <c r="T53" s="11"/>
      <c r="U53" s="68"/>
      <c r="V53" s="45">
        <f>IFERROR(VLOOKUP(T53,'Cost Master List'!$B$2:$P$74,12,),0)</f>
        <v>0</v>
      </c>
      <c r="W53" s="54">
        <f t="shared" si="77"/>
        <v>0</v>
      </c>
      <c r="Y53" s="53" t="s">
        <v>142</v>
      </c>
      <c r="Z53" s="11"/>
      <c r="AA53" s="68"/>
      <c r="AB53" s="45">
        <f>IFERROR(VLOOKUP(Z53,'Cost Master List'!$B$2:$P$74,12,),0)</f>
        <v>0</v>
      </c>
      <c r="AC53" s="54">
        <f t="shared" si="78"/>
        <v>0</v>
      </c>
      <c r="AE53" s="53" t="s">
        <v>142</v>
      </c>
      <c r="AF53" s="11"/>
      <c r="AG53" s="68"/>
      <c r="AH53" s="45">
        <f>IFERROR(VLOOKUP(AF53,'Cost Master List'!$B$2:$P$74,12,),0)</f>
        <v>0</v>
      </c>
      <c r="AI53" s="54">
        <f t="shared" si="79"/>
        <v>0</v>
      </c>
      <c r="AK53" s="53" t="s">
        <v>142</v>
      </c>
      <c r="AL53" s="11"/>
      <c r="AM53" s="68"/>
      <c r="AN53" s="45">
        <f>IFERROR(VLOOKUP(AL53,'Cost Master List'!$B$2:$P$74,12,),0)</f>
        <v>0</v>
      </c>
      <c r="AO53" s="54">
        <f t="shared" si="80"/>
        <v>0</v>
      </c>
      <c r="AQ53" s="53" t="s">
        <v>142</v>
      </c>
      <c r="AR53" s="11"/>
      <c r="AS53" s="68"/>
      <c r="AT53" s="45">
        <f>IFERROR(VLOOKUP(AR53,'Cost Master List'!$B$2:$P$74,12,),0)</f>
        <v>0</v>
      </c>
      <c r="AU53" s="54">
        <f t="shared" si="81"/>
        <v>0</v>
      </c>
      <c r="AW53" s="53" t="s">
        <v>142</v>
      </c>
      <c r="AX53" s="11"/>
      <c r="AY53" s="68"/>
      <c r="AZ53" s="45">
        <f>IFERROR(VLOOKUP(AX53,'Cost Master List'!$B$2:$P$74,12,),0)</f>
        <v>0</v>
      </c>
      <c r="BA53" s="54">
        <f t="shared" si="82"/>
        <v>0</v>
      </c>
    </row>
    <row r="54" spans="1:53" x14ac:dyDescent="0.25">
      <c r="A54" s="53" t="s">
        <v>143</v>
      </c>
      <c r="B54" s="11"/>
      <c r="C54" s="68"/>
      <c r="D54" s="45">
        <f>IFERROR(VLOOKUP(B54,'Cost Master List'!$B$2:$P$74,12,),0)</f>
        <v>0</v>
      </c>
      <c r="E54" s="54">
        <f t="shared" si="74"/>
        <v>0</v>
      </c>
      <c r="G54" s="53" t="s">
        <v>143</v>
      </c>
      <c r="H54" s="11"/>
      <c r="I54" s="68"/>
      <c r="J54" s="45">
        <f>IFERROR(VLOOKUP(H54,'Cost Master List'!$B$2:$P$74,12,),0)</f>
        <v>0</v>
      </c>
      <c r="K54" s="54">
        <f t="shared" si="75"/>
        <v>0</v>
      </c>
      <c r="M54" s="53" t="s">
        <v>143</v>
      </c>
      <c r="N54" s="11"/>
      <c r="O54" s="68"/>
      <c r="P54" s="45">
        <f>IFERROR(VLOOKUP(N54,'Cost Master List'!$B$2:$P$74,12,),0)</f>
        <v>0</v>
      </c>
      <c r="Q54" s="54">
        <f t="shared" si="76"/>
        <v>0</v>
      </c>
      <c r="S54" s="53" t="s">
        <v>143</v>
      </c>
      <c r="T54" s="11"/>
      <c r="U54" s="68"/>
      <c r="V54" s="45">
        <f>IFERROR(VLOOKUP(T54,'Cost Master List'!$B$2:$P$74,12,),0)</f>
        <v>0</v>
      </c>
      <c r="W54" s="54">
        <f t="shared" si="77"/>
        <v>0</v>
      </c>
      <c r="Y54" s="53" t="s">
        <v>143</v>
      </c>
      <c r="Z54" s="11"/>
      <c r="AA54" s="68"/>
      <c r="AB54" s="45">
        <f>IFERROR(VLOOKUP(Z54,'Cost Master List'!$B$2:$P$74,12,),0)</f>
        <v>0</v>
      </c>
      <c r="AC54" s="54">
        <f t="shared" si="78"/>
        <v>0</v>
      </c>
      <c r="AE54" s="53" t="s">
        <v>143</v>
      </c>
      <c r="AF54" s="11"/>
      <c r="AG54" s="68"/>
      <c r="AH54" s="45">
        <f>IFERROR(VLOOKUP(AF54,'Cost Master List'!$B$2:$P$74,12,),0)</f>
        <v>0</v>
      </c>
      <c r="AI54" s="54">
        <f t="shared" si="79"/>
        <v>0</v>
      </c>
      <c r="AK54" s="53" t="s">
        <v>143</v>
      </c>
      <c r="AL54" s="11"/>
      <c r="AM54" s="68"/>
      <c r="AN54" s="45">
        <f>IFERROR(VLOOKUP(AL54,'Cost Master List'!$B$2:$P$74,12,),0)</f>
        <v>0</v>
      </c>
      <c r="AO54" s="54">
        <f t="shared" si="80"/>
        <v>0</v>
      </c>
      <c r="AQ54" s="53" t="s">
        <v>143</v>
      </c>
      <c r="AR54" s="11"/>
      <c r="AS54" s="68"/>
      <c r="AT54" s="45">
        <f>IFERROR(VLOOKUP(AR54,'Cost Master List'!$B$2:$P$74,12,),0)</f>
        <v>0</v>
      </c>
      <c r="AU54" s="54">
        <f t="shared" si="81"/>
        <v>0</v>
      </c>
      <c r="AW54" s="53" t="s">
        <v>143</v>
      </c>
      <c r="AX54" s="11"/>
      <c r="AY54" s="68"/>
      <c r="AZ54" s="45">
        <f>IFERROR(VLOOKUP(AX54,'Cost Master List'!$B$2:$P$74,12,),0)</f>
        <v>0</v>
      </c>
      <c r="BA54" s="54">
        <f t="shared" si="82"/>
        <v>0</v>
      </c>
    </row>
    <row r="55" spans="1:53" x14ac:dyDescent="0.25">
      <c r="A55" s="55" t="s">
        <v>144</v>
      </c>
      <c r="B55" s="11"/>
      <c r="C55" s="69"/>
      <c r="D55" s="46">
        <f>IFERROR(VLOOKUP(B55,'Cost Master List'!$B$2:$P$74,12,),0)</f>
        <v>0</v>
      </c>
      <c r="E55" s="56">
        <f t="shared" si="74"/>
        <v>0</v>
      </c>
      <c r="G55" s="55" t="s">
        <v>144</v>
      </c>
      <c r="H55" s="11"/>
      <c r="I55" s="69"/>
      <c r="J55" s="46">
        <f>IFERROR(VLOOKUP(H55,'Cost Master List'!$B$2:$P$74,12,),0)</f>
        <v>0</v>
      </c>
      <c r="K55" s="56">
        <f t="shared" si="75"/>
        <v>0</v>
      </c>
      <c r="M55" s="55" t="s">
        <v>144</v>
      </c>
      <c r="N55" s="11"/>
      <c r="O55" s="69"/>
      <c r="P55" s="46">
        <f>IFERROR(VLOOKUP(N55,'Cost Master List'!$B$2:$P$74,12,),0)</f>
        <v>0</v>
      </c>
      <c r="Q55" s="56">
        <f t="shared" si="76"/>
        <v>0</v>
      </c>
      <c r="S55" s="55" t="s">
        <v>144</v>
      </c>
      <c r="T55" s="11"/>
      <c r="U55" s="69"/>
      <c r="V55" s="46">
        <f>IFERROR(VLOOKUP(T55,'Cost Master List'!$B$2:$P$74,12,),0)</f>
        <v>0</v>
      </c>
      <c r="W55" s="56">
        <f t="shared" si="77"/>
        <v>0</v>
      </c>
      <c r="Y55" s="55" t="s">
        <v>144</v>
      </c>
      <c r="Z55" s="11"/>
      <c r="AA55" s="69"/>
      <c r="AB55" s="46">
        <f>IFERROR(VLOOKUP(Z55,'Cost Master List'!$B$2:$P$74,12,),0)</f>
        <v>0</v>
      </c>
      <c r="AC55" s="56">
        <f t="shared" si="78"/>
        <v>0</v>
      </c>
      <c r="AE55" s="55" t="s">
        <v>144</v>
      </c>
      <c r="AF55" s="11"/>
      <c r="AG55" s="69"/>
      <c r="AH55" s="46">
        <f>IFERROR(VLOOKUP(AF55,'Cost Master List'!$B$2:$P$74,12,),0)</f>
        <v>0</v>
      </c>
      <c r="AI55" s="56">
        <f t="shared" si="79"/>
        <v>0</v>
      </c>
      <c r="AK55" s="55" t="s">
        <v>144</v>
      </c>
      <c r="AL55" s="11"/>
      <c r="AM55" s="69"/>
      <c r="AN55" s="46">
        <f>IFERROR(VLOOKUP(AL55,'Cost Master List'!$B$2:$P$74,12,),0)</f>
        <v>0</v>
      </c>
      <c r="AO55" s="56">
        <f t="shared" si="80"/>
        <v>0</v>
      </c>
      <c r="AQ55" s="55" t="s">
        <v>144</v>
      </c>
      <c r="AR55" s="11"/>
      <c r="AS55" s="69"/>
      <c r="AT55" s="46">
        <f>IFERROR(VLOOKUP(AR55,'Cost Master List'!$B$2:$P$74,12,),0)</f>
        <v>0</v>
      </c>
      <c r="AU55" s="56">
        <f t="shared" si="81"/>
        <v>0</v>
      </c>
      <c r="AW55" s="55" t="s">
        <v>144</v>
      </c>
      <c r="AX55" s="11"/>
      <c r="AY55" s="69"/>
      <c r="AZ55" s="46">
        <f>IFERROR(VLOOKUP(AX55,'Cost Master List'!$B$2:$P$74,12,),0)</f>
        <v>0</v>
      </c>
      <c r="BA55" s="56">
        <f t="shared" si="82"/>
        <v>0</v>
      </c>
    </row>
    <row r="56" spans="1:53" x14ac:dyDescent="0.25">
      <c r="A56" s="51" t="s">
        <v>145</v>
      </c>
      <c r="B56" s="10" t="s">
        <v>184</v>
      </c>
      <c r="C56" s="8"/>
      <c r="D56" s="45">
        <f>IFERROR(VLOOKUP('Manufactured Items Models'!B56,'Cost Master List'!$B$84:$L$98,11,FALSE),0)</f>
        <v>9.68</v>
      </c>
      <c r="E56" s="54">
        <f>+D56/$A$50</f>
        <v>0.22</v>
      </c>
      <c r="G56" s="51" t="s">
        <v>145</v>
      </c>
      <c r="H56" s="10"/>
      <c r="I56" s="8"/>
      <c r="J56" s="45">
        <f>IFERROR(VLOOKUP('Manufactured Items Models'!H56,'Cost Master List'!$B$84:$L$98,11,FALSE),0)</f>
        <v>0</v>
      </c>
      <c r="K56" s="54">
        <f>+J56/$G$14</f>
        <v>0</v>
      </c>
      <c r="M56" s="51" t="s">
        <v>145</v>
      </c>
      <c r="N56" s="10"/>
      <c r="O56" s="8"/>
      <c r="P56" s="45">
        <f>IFERROR(VLOOKUP('Manufactured Items Models'!N56,'Cost Master List'!$B$84:$L$98,11,FALSE),0)</f>
        <v>0</v>
      </c>
      <c r="Q56" s="54">
        <f>+P56/$G$14</f>
        <v>0</v>
      </c>
      <c r="S56" s="51" t="s">
        <v>145</v>
      </c>
      <c r="T56" s="10"/>
      <c r="U56" s="8"/>
      <c r="V56" s="45">
        <f>IFERROR(VLOOKUP('Manufactured Items Models'!T56,'Cost Master List'!$B$84:$L$98,11,FALSE),0)</f>
        <v>0</v>
      </c>
      <c r="W56" s="54">
        <f>+V56/$G$14</f>
        <v>0</v>
      </c>
      <c r="Y56" s="51" t="s">
        <v>145</v>
      </c>
      <c r="Z56" s="10"/>
      <c r="AA56" s="8"/>
      <c r="AB56" s="45">
        <f>IFERROR(VLOOKUP('Manufactured Items Models'!Z56,'Cost Master List'!$B$84:$L$98,11,FALSE),0)</f>
        <v>0</v>
      </c>
      <c r="AC56" s="54">
        <f>+AB56/$G$14</f>
        <v>0</v>
      </c>
      <c r="AE56" s="51" t="s">
        <v>145</v>
      </c>
      <c r="AF56" s="10"/>
      <c r="AG56" s="8"/>
      <c r="AH56" s="45">
        <f>IFERROR(VLOOKUP('Manufactured Items Models'!AF56,'Cost Master List'!$B$84:$L$98,11,FALSE),0)</f>
        <v>0</v>
      </c>
      <c r="AI56" s="54">
        <f>+AH56/$G$14</f>
        <v>0</v>
      </c>
      <c r="AK56" s="51" t="s">
        <v>145</v>
      </c>
      <c r="AL56" s="10"/>
      <c r="AM56" s="8"/>
      <c r="AN56" s="45">
        <f>IFERROR(VLOOKUP('Manufactured Items Models'!AL56,'Cost Master List'!$B$84:$L$98,11,FALSE),0)</f>
        <v>0</v>
      </c>
      <c r="AO56" s="54">
        <f>+AN56/$G$14</f>
        <v>0</v>
      </c>
      <c r="AQ56" s="51" t="s">
        <v>145</v>
      </c>
      <c r="AR56" s="10"/>
      <c r="AS56" s="8"/>
      <c r="AT56" s="45">
        <f>IFERROR(VLOOKUP('Manufactured Items Models'!AR56,'Cost Master List'!$B$84:$L$98,11,FALSE),0)</f>
        <v>0</v>
      </c>
      <c r="AU56" s="54">
        <f>+AT56/$G$14</f>
        <v>0</v>
      </c>
      <c r="AW56" s="51" t="s">
        <v>145</v>
      </c>
      <c r="AX56" s="10"/>
      <c r="AY56" s="8"/>
      <c r="AZ56" s="45">
        <f>IFERROR(VLOOKUP('Manufactured Items Models'!AX56,'Cost Master List'!$B$84:$L$98,11,FALSE),0)</f>
        <v>0</v>
      </c>
      <c r="BA56" s="54">
        <f>+AZ56/$G$14</f>
        <v>0</v>
      </c>
    </row>
    <row r="57" spans="1:53" x14ac:dyDescent="0.25">
      <c r="A57" s="53" t="s">
        <v>146</v>
      </c>
      <c r="B57" s="11"/>
      <c r="D57" s="45">
        <f>IFERROR(VLOOKUP('Manufactured Items Models'!B57,'Cost Master List'!$B$84:$L$98,11,FALSE),0)</f>
        <v>0</v>
      </c>
      <c r="E57" s="54">
        <f>+D57/$A$50</f>
        <v>0</v>
      </c>
      <c r="G57" s="53" t="s">
        <v>146</v>
      </c>
      <c r="H57" s="11"/>
      <c r="J57" s="45">
        <f>IFERROR(VLOOKUP('Manufactured Items Models'!H57,'Cost Master List'!$B$84:$L$98,11,FALSE),0)</f>
        <v>0</v>
      </c>
      <c r="K57" s="54">
        <f t="shared" ref="K57:K58" si="83">+J57/$G$14</f>
        <v>0</v>
      </c>
      <c r="M57" s="53" t="s">
        <v>146</v>
      </c>
      <c r="N57" s="11"/>
      <c r="P57" s="45">
        <f>IFERROR(VLOOKUP('Manufactured Items Models'!N57,'Cost Master List'!$B$84:$L$98,11,FALSE),0)</f>
        <v>0</v>
      </c>
      <c r="Q57" s="54">
        <f t="shared" ref="Q57:Q58" si="84">+P57/$G$14</f>
        <v>0</v>
      </c>
      <c r="S57" s="53" t="s">
        <v>146</v>
      </c>
      <c r="T57" s="11"/>
      <c r="V57" s="45">
        <f>IFERROR(VLOOKUP('Manufactured Items Models'!T57,'Cost Master List'!$B$84:$L$98,11,FALSE),0)</f>
        <v>0</v>
      </c>
      <c r="W57" s="54">
        <f t="shared" ref="W57:W58" si="85">+V57/$G$14</f>
        <v>0</v>
      </c>
      <c r="Y57" s="53" t="s">
        <v>146</v>
      </c>
      <c r="Z57" s="11"/>
      <c r="AB57" s="45">
        <f>IFERROR(VLOOKUP('Manufactured Items Models'!Z57,'Cost Master List'!$B$84:$L$98,11,FALSE),0)</f>
        <v>0</v>
      </c>
      <c r="AC57" s="54">
        <f t="shared" ref="AC57:AC58" si="86">+AB57/$G$14</f>
        <v>0</v>
      </c>
      <c r="AE57" s="53" t="s">
        <v>146</v>
      </c>
      <c r="AF57" s="11"/>
      <c r="AH57" s="45">
        <f>IFERROR(VLOOKUP('Manufactured Items Models'!AF57,'Cost Master List'!$B$84:$L$98,11,FALSE),0)</f>
        <v>0</v>
      </c>
      <c r="AI57" s="54">
        <f t="shared" ref="AI57:AI58" si="87">+AH57/$G$14</f>
        <v>0</v>
      </c>
      <c r="AK57" s="53" t="s">
        <v>146</v>
      </c>
      <c r="AL57" s="11"/>
      <c r="AN57" s="45">
        <f>IFERROR(VLOOKUP('Manufactured Items Models'!AL57,'Cost Master List'!$B$84:$L$98,11,FALSE),0)</f>
        <v>0</v>
      </c>
      <c r="AO57" s="54">
        <f t="shared" ref="AO57:AO58" si="88">+AN57/$G$14</f>
        <v>0</v>
      </c>
      <c r="AQ57" s="53" t="s">
        <v>146</v>
      </c>
      <c r="AR57" s="11"/>
      <c r="AT57" s="45">
        <f>IFERROR(VLOOKUP('Manufactured Items Models'!AR57,'Cost Master List'!$B$84:$L$98,11,FALSE),0)</f>
        <v>0</v>
      </c>
      <c r="AU57" s="54">
        <f t="shared" ref="AU57:AU58" si="89">+AT57/$G$14</f>
        <v>0</v>
      </c>
      <c r="AW57" s="53" t="s">
        <v>146</v>
      </c>
      <c r="AX57" s="11"/>
      <c r="AZ57" s="45">
        <f>IFERROR(VLOOKUP('Manufactured Items Models'!AX57,'Cost Master List'!$B$84:$L$98,11,FALSE),0)</f>
        <v>0</v>
      </c>
      <c r="BA57" s="54">
        <f t="shared" ref="BA57:BA58" si="90">+AZ57/$G$14</f>
        <v>0</v>
      </c>
    </row>
    <row r="58" spans="1:53" x14ac:dyDescent="0.25">
      <c r="A58" s="55" t="s">
        <v>147</v>
      </c>
      <c r="B58" s="12"/>
      <c r="C58" s="9"/>
      <c r="D58" s="45">
        <f>IFERROR(VLOOKUP('Manufactured Items Models'!B58,'Cost Master List'!$B$84:$L$98,11,FALSE),0)</f>
        <v>0</v>
      </c>
      <c r="E58" s="54">
        <f>+D58/$A$50</f>
        <v>0</v>
      </c>
      <c r="G58" s="55" t="s">
        <v>147</v>
      </c>
      <c r="H58" s="12"/>
      <c r="I58" s="9"/>
      <c r="J58" s="45">
        <f>IFERROR(VLOOKUP('Manufactured Items Models'!H58,'Cost Master List'!$B$84:$L$98,11,FALSE),0)</f>
        <v>0</v>
      </c>
      <c r="K58" s="54">
        <f t="shared" si="83"/>
        <v>0</v>
      </c>
      <c r="M58" s="55" t="s">
        <v>147</v>
      </c>
      <c r="N58" s="12"/>
      <c r="O58" s="9"/>
      <c r="P58" s="45">
        <f>IFERROR(VLOOKUP('Manufactured Items Models'!N58,'Cost Master List'!$B$84:$L$98,11,FALSE),0)</f>
        <v>0</v>
      </c>
      <c r="Q58" s="54">
        <f t="shared" si="84"/>
        <v>0</v>
      </c>
      <c r="S58" s="55" t="s">
        <v>147</v>
      </c>
      <c r="T58" s="12"/>
      <c r="U58" s="9"/>
      <c r="V58" s="45">
        <f>IFERROR(VLOOKUP('Manufactured Items Models'!T58,'Cost Master List'!$B$84:$L$98,11,FALSE),0)</f>
        <v>0</v>
      </c>
      <c r="W58" s="54">
        <f t="shared" si="85"/>
        <v>0</v>
      </c>
      <c r="Y58" s="55" t="s">
        <v>147</v>
      </c>
      <c r="Z58" s="12"/>
      <c r="AA58" s="9"/>
      <c r="AB58" s="45">
        <f>IFERROR(VLOOKUP('Manufactured Items Models'!Z58,'Cost Master List'!$B$84:$L$98,11,FALSE),0)</f>
        <v>0</v>
      </c>
      <c r="AC58" s="54">
        <f t="shared" si="86"/>
        <v>0</v>
      </c>
      <c r="AE58" s="55" t="s">
        <v>147</v>
      </c>
      <c r="AF58" s="12"/>
      <c r="AG58" s="9"/>
      <c r="AH58" s="45">
        <f>IFERROR(VLOOKUP('Manufactured Items Models'!AF58,'Cost Master List'!$B$84:$L$98,11,FALSE),0)</f>
        <v>0</v>
      </c>
      <c r="AI58" s="54">
        <f t="shared" si="87"/>
        <v>0</v>
      </c>
      <c r="AK58" s="55" t="s">
        <v>147</v>
      </c>
      <c r="AL58" s="12"/>
      <c r="AM58" s="9"/>
      <c r="AN58" s="45">
        <f>IFERROR(VLOOKUP('Manufactured Items Models'!AL58,'Cost Master List'!$B$84:$L$98,11,FALSE),0)</f>
        <v>0</v>
      </c>
      <c r="AO58" s="54">
        <f t="shared" si="88"/>
        <v>0</v>
      </c>
      <c r="AQ58" s="55" t="s">
        <v>147</v>
      </c>
      <c r="AR58" s="12"/>
      <c r="AS58" s="9"/>
      <c r="AT58" s="45">
        <f>IFERROR(VLOOKUP('Manufactured Items Models'!AR58,'Cost Master List'!$B$84:$L$98,11,FALSE),0)</f>
        <v>0</v>
      </c>
      <c r="AU58" s="54">
        <f t="shared" si="89"/>
        <v>0</v>
      </c>
      <c r="AW58" s="55" t="s">
        <v>147</v>
      </c>
      <c r="AX58" s="12"/>
      <c r="AY58" s="9"/>
      <c r="AZ58" s="45">
        <f>IFERROR(VLOOKUP('Manufactured Items Models'!AX58,'Cost Master List'!$B$84:$L$98,11,FALSE),0)</f>
        <v>0</v>
      </c>
      <c r="BA58" s="54">
        <f t="shared" si="90"/>
        <v>0</v>
      </c>
    </row>
    <row r="59" spans="1:53" x14ac:dyDescent="0.25">
      <c r="A59" s="57" t="s">
        <v>148</v>
      </c>
      <c r="B59" s="47"/>
      <c r="C59" s="47"/>
      <c r="D59" s="47"/>
      <c r="E59" s="58">
        <v>1</v>
      </c>
      <c r="G59" s="57" t="s">
        <v>148</v>
      </c>
      <c r="H59" s="47"/>
      <c r="I59" s="47"/>
      <c r="J59" s="47"/>
      <c r="K59" s="58">
        <v>1</v>
      </c>
      <c r="M59" s="57" t="s">
        <v>148</v>
      </c>
      <c r="N59" s="47"/>
      <c r="O59" s="47"/>
      <c r="P59" s="47"/>
      <c r="Q59" s="58">
        <v>1</v>
      </c>
      <c r="S59" s="57" t="s">
        <v>148</v>
      </c>
      <c r="T59" s="47"/>
      <c r="U59" s="47"/>
      <c r="V59" s="47"/>
      <c r="W59" s="58">
        <v>1</v>
      </c>
      <c r="Y59" s="57" t="s">
        <v>148</v>
      </c>
      <c r="Z59" s="47"/>
      <c r="AA59" s="47"/>
      <c r="AB59" s="47"/>
      <c r="AC59" s="58">
        <v>1</v>
      </c>
      <c r="AE59" s="57" t="s">
        <v>148</v>
      </c>
      <c r="AF59" s="47"/>
      <c r="AG59" s="47"/>
      <c r="AH59" s="47"/>
      <c r="AI59" s="58">
        <v>1</v>
      </c>
      <c r="AK59" s="57" t="s">
        <v>148</v>
      </c>
      <c r="AL59" s="47"/>
      <c r="AM59" s="47"/>
      <c r="AN59" s="47"/>
      <c r="AO59" s="58">
        <v>1</v>
      </c>
      <c r="AQ59" s="57" t="s">
        <v>148</v>
      </c>
      <c r="AR59" s="47"/>
      <c r="AS59" s="47"/>
      <c r="AT59" s="47"/>
      <c r="AU59" s="58">
        <v>1</v>
      </c>
      <c r="AW59" s="57" t="s">
        <v>148</v>
      </c>
      <c r="AX59" s="47"/>
      <c r="AY59" s="47"/>
      <c r="AZ59" s="47"/>
      <c r="BA59" s="58">
        <v>1</v>
      </c>
    </row>
    <row r="60" spans="1:53" ht="15.75" thickBot="1" x14ac:dyDescent="0.3">
      <c r="A60" s="60"/>
      <c r="B60" s="84" t="s">
        <v>329</v>
      </c>
      <c r="C60" s="61"/>
      <c r="D60" s="61" t="s">
        <v>185</v>
      </c>
      <c r="E60" s="62">
        <f>+SUM(E51:E59)</f>
        <v>2.6812949170378566</v>
      </c>
      <c r="G60" s="60"/>
      <c r="H60" s="84"/>
      <c r="I60" s="61"/>
      <c r="J60" s="61" t="s">
        <v>185</v>
      </c>
      <c r="K60" s="62">
        <f>+SUM(K51:K59)</f>
        <v>1</v>
      </c>
      <c r="M60" s="60"/>
      <c r="N60" s="84"/>
      <c r="O60" s="61"/>
      <c r="P60" s="61" t="s">
        <v>185</v>
      </c>
      <c r="Q60" s="62">
        <f>+SUM(Q51:Q59)</f>
        <v>1</v>
      </c>
      <c r="S60" s="60"/>
      <c r="T60" s="84"/>
      <c r="U60" s="61"/>
      <c r="V60" s="61" t="s">
        <v>185</v>
      </c>
      <c r="W60" s="62">
        <f>+SUM(W51:W59)</f>
        <v>1</v>
      </c>
      <c r="Y60" s="60"/>
      <c r="Z60" s="84"/>
      <c r="AA60" s="61"/>
      <c r="AB60" s="61" t="s">
        <v>185</v>
      </c>
      <c r="AC60" s="62">
        <f>+SUM(AC51:AC59)</f>
        <v>1</v>
      </c>
      <c r="AE60" s="60"/>
      <c r="AF60" s="84"/>
      <c r="AG60" s="61"/>
      <c r="AH60" s="61" t="s">
        <v>185</v>
      </c>
      <c r="AI60" s="62">
        <f>+SUM(AI51:AI59)</f>
        <v>1</v>
      </c>
      <c r="AK60" s="57"/>
      <c r="AL60" s="47"/>
      <c r="AM60" s="47"/>
      <c r="AN60" s="47" t="s">
        <v>185</v>
      </c>
      <c r="AO60" s="59">
        <f>+SUM(AO51:AO59)</f>
        <v>1</v>
      </c>
      <c r="AQ60" s="57"/>
      <c r="AR60" s="47"/>
      <c r="AS60" s="47"/>
      <c r="AT60" s="47" t="s">
        <v>185</v>
      </c>
      <c r="AU60" s="59">
        <f>+SUM(AU51:AU59)</f>
        <v>1</v>
      </c>
      <c r="AW60" s="57"/>
      <c r="AX60" s="47"/>
      <c r="AY60" s="47"/>
      <c r="AZ60" s="47" t="s">
        <v>185</v>
      </c>
      <c r="BA60" s="59">
        <f>+SUM(BA51:BA59)</f>
        <v>1</v>
      </c>
    </row>
    <row r="61" spans="1:53" x14ac:dyDescent="0.25">
      <c r="A61" s="64"/>
      <c r="B61" s="63"/>
      <c r="C61" s="63"/>
      <c r="D61" s="63"/>
      <c r="E61" s="65"/>
      <c r="G61" s="64"/>
      <c r="H61" s="63"/>
      <c r="I61" s="63"/>
      <c r="J61" s="63"/>
      <c r="K61" s="65"/>
      <c r="M61" s="64"/>
      <c r="N61" s="63"/>
      <c r="O61" s="63"/>
      <c r="P61" s="63"/>
      <c r="Q61" s="65"/>
      <c r="S61" s="64"/>
      <c r="T61" s="63"/>
      <c r="U61" s="63"/>
      <c r="V61" s="63"/>
      <c r="W61" s="65"/>
      <c r="Y61" s="64"/>
      <c r="Z61" s="63"/>
      <c r="AA61" s="63"/>
      <c r="AB61" s="63"/>
      <c r="AC61" s="65"/>
      <c r="AE61" s="64"/>
      <c r="AF61" s="63"/>
      <c r="AG61" s="63"/>
      <c r="AH61" s="63"/>
      <c r="AI61" s="65"/>
      <c r="AK61" s="64"/>
      <c r="AL61" s="63"/>
      <c r="AM61" s="63"/>
      <c r="AN61" s="63"/>
      <c r="AO61" s="65"/>
      <c r="AQ61" s="64"/>
      <c r="AR61" s="63"/>
      <c r="AS61" s="63"/>
      <c r="AT61" s="63"/>
      <c r="AU61" s="65"/>
      <c r="AW61" s="64"/>
      <c r="AX61" s="63"/>
      <c r="AY61" s="63"/>
      <c r="AZ61" s="63"/>
      <c r="BA61" s="65"/>
    </row>
    <row r="62" spans="1:53" x14ac:dyDescent="0.25">
      <c r="A62" s="48">
        <v>8</v>
      </c>
      <c r="B62" s="82" t="s">
        <v>196</v>
      </c>
      <c r="C62" s="6" t="s">
        <v>138</v>
      </c>
      <c r="D62" s="6" t="s">
        <v>23</v>
      </c>
      <c r="E62" s="50" t="s">
        <v>139</v>
      </c>
      <c r="G62" s="48"/>
      <c r="H62" s="82"/>
      <c r="I62" s="6" t="s">
        <v>138</v>
      </c>
      <c r="J62" s="6" t="s">
        <v>23</v>
      </c>
      <c r="K62" s="50" t="s">
        <v>139</v>
      </c>
      <c r="M62" s="48"/>
      <c r="N62" s="82"/>
      <c r="O62" s="6" t="s">
        <v>138</v>
      </c>
      <c r="P62" s="6" t="s">
        <v>23</v>
      </c>
      <c r="Q62" s="50" t="s">
        <v>139</v>
      </c>
      <c r="S62" s="48"/>
      <c r="T62" s="82"/>
      <c r="U62" s="6" t="s">
        <v>138</v>
      </c>
      <c r="V62" s="6" t="s">
        <v>23</v>
      </c>
      <c r="W62" s="50" t="s">
        <v>139</v>
      </c>
      <c r="Y62" s="48"/>
      <c r="Z62" s="82"/>
      <c r="AA62" s="6" t="s">
        <v>138</v>
      </c>
      <c r="AB62" s="6" t="s">
        <v>23</v>
      </c>
      <c r="AC62" s="50" t="s">
        <v>139</v>
      </c>
      <c r="AE62" s="48"/>
      <c r="AF62" s="82"/>
      <c r="AG62" s="6" t="s">
        <v>138</v>
      </c>
      <c r="AH62" s="6" t="s">
        <v>23</v>
      </c>
      <c r="AI62" s="50" t="s">
        <v>139</v>
      </c>
      <c r="AK62" s="48"/>
      <c r="AL62" s="82"/>
      <c r="AM62" s="6" t="s">
        <v>138</v>
      </c>
      <c r="AN62" s="6" t="s">
        <v>23</v>
      </c>
      <c r="AO62" s="50" t="s">
        <v>139</v>
      </c>
      <c r="AQ62" s="48"/>
      <c r="AR62" s="82"/>
      <c r="AS62" s="6" t="s">
        <v>138</v>
      </c>
      <c r="AT62" s="6" t="s">
        <v>23</v>
      </c>
      <c r="AU62" s="50" t="s">
        <v>139</v>
      </c>
      <c r="AW62" s="48"/>
      <c r="AX62" s="82"/>
      <c r="AY62" s="6" t="s">
        <v>138</v>
      </c>
      <c r="AZ62" s="6" t="s">
        <v>23</v>
      </c>
      <c r="BA62" s="50" t="s">
        <v>139</v>
      </c>
    </row>
    <row r="63" spans="1:53" x14ac:dyDescent="0.25">
      <c r="A63" s="51" t="s">
        <v>140</v>
      </c>
      <c r="B63" s="10" t="s">
        <v>303</v>
      </c>
      <c r="C63" s="67">
        <v>0.27</v>
      </c>
      <c r="D63" s="44">
        <f>IFERROR(VLOOKUP(B63,'Cost Master List'!$B$2:$P$74,12,),0)</f>
        <v>6.1053605610037103</v>
      </c>
      <c r="E63" s="52">
        <f>+D63*C63</f>
        <v>1.6484473514710019</v>
      </c>
      <c r="G63" s="51" t="s">
        <v>140</v>
      </c>
      <c r="H63" s="10"/>
      <c r="I63" s="67"/>
      <c r="J63" s="44">
        <f>IFERROR(VLOOKUP(H63,'Cost Master List'!$B$2:$P$74,12,),0)</f>
        <v>0</v>
      </c>
      <c r="K63" s="52">
        <f>+J63*I63</f>
        <v>0</v>
      </c>
      <c r="M63" s="51" t="s">
        <v>140</v>
      </c>
      <c r="N63" s="10"/>
      <c r="O63" s="67"/>
      <c r="P63" s="44">
        <f>IFERROR(VLOOKUP(N63,'Cost Master List'!$B$2:$P$74,12,),0)</f>
        <v>0</v>
      </c>
      <c r="Q63" s="52">
        <f>+P63*O63</f>
        <v>0</v>
      </c>
      <c r="S63" s="51" t="s">
        <v>140</v>
      </c>
      <c r="T63" s="10"/>
      <c r="U63" s="67"/>
      <c r="V63" s="44">
        <f>IFERROR(VLOOKUP(T63,'Cost Master List'!$B$2:$P$74,12,),0)</f>
        <v>0</v>
      </c>
      <c r="W63" s="52">
        <f>+V63*U63</f>
        <v>0</v>
      </c>
      <c r="Y63" s="51" t="s">
        <v>140</v>
      </c>
      <c r="Z63" s="10"/>
      <c r="AA63" s="67"/>
      <c r="AB63" s="44">
        <f>IFERROR(VLOOKUP(Z63,'Cost Master List'!$B$2:$P$74,12,),0)</f>
        <v>0</v>
      </c>
      <c r="AC63" s="52">
        <f>+AB63*AA63</f>
        <v>0</v>
      </c>
      <c r="AE63" s="51" t="s">
        <v>140</v>
      </c>
      <c r="AF63" s="10"/>
      <c r="AG63" s="67"/>
      <c r="AH63" s="44">
        <f>IFERROR(VLOOKUP(AF63,'Cost Master List'!$B$2:$P$74,12,),0)</f>
        <v>0</v>
      </c>
      <c r="AI63" s="52">
        <f>+AH63*AG63</f>
        <v>0</v>
      </c>
      <c r="AK63" s="51" t="s">
        <v>140</v>
      </c>
      <c r="AL63" s="10"/>
      <c r="AM63" s="67"/>
      <c r="AN63" s="44">
        <f>IFERROR(VLOOKUP(AL63,'Cost Master List'!$B$2:$P$74,12,),0)</f>
        <v>0</v>
      </c>
      <c r="AO63" s="52">
        <f>+AN63*AM63</f>
        <v>0</v>
      </c>
      <c r="AQ63" s="51" t="s">
        <v>140</v>
      </c>
      <c r="AR63" s="10"/>
      <c r="AS63" s="67"/>
      <c r="AT63" s="44">
        <f>IFERROR(VLOOKUP(AR63,'Cost Master List'!$B$2:$P$74,12,),0)</f>
        <v>0</v>
      </c>
      <c r="AU63" s="52">
        <f>+AT63*AS63</f>
        <v>0</v>
      </c>
      <c r="AW63" s="51" t="s">
        <v>140</v>
      </c>
      <c r="AX63" s="10"/>
      <c r="AY63" s="67"/>
      <c r="AZ63" s="44">
        <f>IFERROR(VLOOKUP(AX63,'Cost Master List'!$B$2:$P$74,12,),0)</f>
        <v>0</v>
      </c>
      <c r="BA63" s="52">
        <f>+AZ63*AY63</f>
        <v>0</v>
      </c>
    </row>
    <row r="64" spans="1:53" x14ac:dyDescent="0.25">
      <c r="A64" s="53" t="s">
        <v>141</v>
      </c>
      <c r="B64" s="11" t="s">
        <v>198</v>
      </c>
      <c r="C64" s="68">
        <v>0.73</v>
      </c>
      <c r="D64" s="45">
        <f>IFERROR(VLOOKUP(B64,'Cost Master List'!$B$2:$P$74,12,),0)</f>
        <v>0.22679645471781987</v>
      </c>
      <c r="E64" s="54">
        <f t="shared" ref="E64:E67" si="91">+D64*C64</f>
        <v>0.1655614119440085</v>
      </c>
      <c r="G64" s="53" t="s">
        <v>141</v>
      </c>
      <c r="H64" s="11"/>
      <c r="I64" s="68"/>
      <c r="J64" s="45">
        <f>IFERROR(VLOOKUP(H64,'Cost Master List'!$B$2:$P$74,12,),0)</f>
        <v>0</v>
      </c>
      <c r="K64" s="54">
        <f t="shared" ref="K64:K67" si="92">+J64*I64</f>
        <v>0</v>
      </c>
      <c r="M64" s="53" t="s">
        <v>141</v>
      </c>
      <c r="N64" s="11"/>
      <c r="O64" s="68"/>
      <c r="P64" s="45">
        <f>IFERROR(VLOOKUP(N64,'Cost Master List'!$B$2:$P$74,12,),0)</f>
        <v>0</v>
      </c>
      <c r="Q64" s="54">
        <f t="shared" ref="Q64:Q67" si="93">+P64*O64</f>
        <v>0</v>
      </c>
      <c r="S64" s="53" t="s">
        <v>141</v>
      </c>
      <c r="T64" s="11"/>
      <c r="U64" s="68"/>
      <c r="V64" s="45">
        <f>IFERROR(VLOOKUP(T64,'Cost Master List'!$B$2:$P$74,12,),0)</f>
        <v>0</v>
      </c>
      <c r="W64" s="54">
        <f t="shared" ref="W64:W67" si="94">+V64*U64</f>
        <v>0</v>
      </c>
      <c r="Y64" s="53" t="s">
        <v>141</v>
      </c>
      <c r="Z64" s="11"/>
      <c r="AA64" s="68"/>
      <c r="AB64" s="45">
        <f>IFERROR(VLOOKUP(Z64,'Cost Master List'!$B$2:$P$74,12,),0)</f>
        <v>0</v>
      </c>
      <c r="AC64" s="54">
        <f t="shared" ref="AC64:AC67" si="95">+AB64*AA64</f>
        <v>0</v>
      </c>
      <c r="AE64" s="53" t="s">
        <v>141</v>
      </c>
      <c r="AF64" s="11"/>
      <c r="AG64" s="68"/>
      <c r="AH64" s="45">
        <f>IFERROR(VLOOKUP(AF64,'Cost Master List'!$B$2:$P$74,12,),0)</f>
        <v>0</v>
      </c>
      <c r="AI64" s="54">
        <f t="shared" ref="AI64:AI67" si="96">+AH64*AG64</f>
        <v>0</v>
      </c>
      <c r="AK64" s="53" t="s">
        <v>141</v>
      </c>
      <c r="AL64" s="11"/>
      <c r="AM64" s="68"/>
      <c r="AN64" s="45">
        <f>IFERROR(VLOOKUP(AL64,'Cost Master List'!$B$2:$P$74,12,),0)</f>
        <v>0</v>
      </c>
      <c r="AO64" s="54">
        <f t="shared" ref="AO64:AO67" si="97">+AN64*AM64</f>
        <v>0</v>
      </c>
      <c r="AQ64" s="53" t="s">
        <v>141</v>
      </c>
      <c r="AR64" s="11"/>
      <c r="AS64" s="68"/>
      <c r="AT64" s="45">
        <f>IFERROR(VLOOKUP(AR64,'Cost Master List'!$B$2:$P$74,12,),0)</f>
        <v>0</v>
      </c>
      <c r="AU64" s="54">
        <f t="shared" ref="AU64:AU67" si="98">+AT64*AS64</f>
        <v>0</v>
      </c>
      <c r="AW64" s="53" t="s">
        <v>141</v>
      </c>
      <c r="AX64" s="11"/>
      <c r="AY64" s="68"/>
      <c r="AZ64" s="45">
        <f>IFERROR(VLOOKUP(AX64,'Cost Master List'!$B$2:$P$74,12,),0)</f>
        <v>0</v>
      </c>
      <c r="BA64" s="54">
        <f t="shared" ref="BA64:BA67" si="99">+AZ64*AY64</f>
        <v>0</v>
      </c>
    </row>
    <row r="65" spans="1:53" x14ac:dyDescent="0.25">
      <c r="A65" s="53" t="s">
        <v>142</v>
      </c>
      <c r="B65" s="11"/>
      <c r="C65" s="68"/>
      <c r="D65" s="45">
        <f>IFERROR(VLOOKUP(B65,'Cost Master List'!$B$2:$P$74,12,),0)</f>
        <v>0</v>
      </c>
      <c r="E65" s="54">
        <f t="shared" si="91"/>
        <v>0</v>
      </c>
      <c r="G65" s="53" t="s">
        <v>142</v>
      </c>
      <c r="H65" s="11"/>
      <c r="I65" s="68"/>
      <c r="J65" s="45">
        <f>IFERROR(VLOOKUP(H65,'Cost Master List'!$B$2:$P$74,12,),0)</f>
        <v>0</v>
      </c>
      <c r="K65" s="54">
        <f t="shared" si="92"/>
        <v>0</v>
      </c>
      <c r="M65" s="53" t="s">
        <v>142</v>
      </c>
      <c r="N65" s="11"/>
      <c r="O65" s="68"/>
      <c r="P65" s="45">
        <f>IFERROR(VLOOKUP(N65,'Cost Master List'!$B$2:$P$74,12,),0)</f>
        <v>0</v>
      </c>
      <c r="Q65" s="54">
        <f t="shared" si="93"/>
        <v>0</v>
      </c>
      <c r="S65" s="53" t="s">
        <v>142</v>
      </c>
      <c r="T65" s="11"/>
      <c r="U65" s="68"/>
      <c r="V65" s="45">
        <f>IFERROR(VLOOKUP(T65,'Cost Master List'!$B$2:$P$74,12,),0)</f>
        <v>0</v>
      </c>
      <c r="W65" s="54">
        <f t="shared" si="94"/>
        <v>0</v>
      </c>
      <c r="Y65" s="53" t="s">
        <v>142</v>
      </c>
      <c r="Z65" s="11"/>
      <c r="AA65" s="68"/>
      <c r="AB65" s="45">
        <f>IFERROR(VLOOKUP(Z65,'Cost Master List'!$B$2:$P$74,12,),0)</f>
        <v>0</v>
      </c>
      <c r="AC65" s="54">
        <f t="shared" si="95"/>
        <v>0</v>
      </c>
      <c r="AE65" s="53" t="s">
        <v>142</v>
      </c>
      <c r="AF65" s="11"/>
      <c r="AG65" s="68"/>
      <c r="AH65" s="45">
        <f>IFERROR(VLOOKUP(AF65,'Cost Master List'!$B$2:$P$74,12,),0)</f>
        <v>0</v>
      </c>
      <c r="AI65" s="54">
        <f t="shared" si="96"/>
        <v>0</v>
      </c>
      <c r="AK65" s="53" t="s">
        <v>142</v>
      </c>
      <c r="AL65" s="11"/>
      <c r="AM65" s="68"/>
      <c r="AN65" s="45">
        <f>IFERROR(VLOOKUP(AL65,'Cost Master List'!$B$2:$P$74,12,),0)</f>
        <v>0</v>
      </c>
      <c r="AO65" s="54">
        <f t="shared" si="97"/>
        <v>0</v>
      </c>
      <c r="AQ65" s="53" t="s">
        <v>142</v>
      </c>
      <c r="AR65" s="11"/>
      <c r="AS65" s="68"/>
      <c r="AT65" s="45">
        <f>IFERROR(VLOOKUP(AR65,'Cost Master List'!$B$2:$P$74,12,),0)</f>
        <v>0</v>
      </c>
      <c r="AU65" s="54">
        <f t="shared" si="98"/>
        <v>0</v>
      </c>
      <c r="AW65" s="53" t="s">
        <v>142</v>
      </c>
      <c r="AX65" s="11"/>
      <c r="AY65" s="68"/>
      <c r="AZ65" s="45">
        <f>IFERROR(VLOOKUP(AX65,'Cost Master List'!$B$2:$P$74,12,),0)</f>
        <v>0</v>
      </c>
      <c r="BA65" s="54">
        <f t="shared" si="99"/>
        <v>0</v>
      </c>
    </row>
    <row r="66" spans="1:53" x14ac:dyDescent="0.25">
      <c r="A66" s="53" t="s">
        <v>143</v>
      </c>
      <c r="B66" s="11"/>
      <c r="C66" s="68"/>
      <c r="D66" s="45">
        <f>IFERROR(VLOOKUP(B66,'Cost Master List'!$B$2:$P$74,12,),0)</f>
        <v>0</v>
      </c>
      <c r="E66" s="54">
        <f t="shared" si="91"/>
        <v>0</v>
      </c>
      <c r="G66" s="53" t="s">
        <v>143</v>
      </c>
      <c r="H66" s="11"/>
      <c r="I66" s="68"/>
      <c r="J66" s="45">
        <f>IFERROR(VLOOKUP(H66,'Cost Master List'!$B$2:$P$74,12,),0)</f>
        <v>0</v>
      </c>
      <c r="K66" s="54">
        <f t="shared" si="92"/>
        <v>0</v>
      </c>
      <c r="M66" s="53" t="s">
        <v>143</v>
      </c>
      <c r="N66" s="11"/>
      <c r="O66" s="68"/>
      <c r="P66" s="45">
        <f>IFERROR(VLOOKUP(N66,'Cost Master List'!$B$2:$P$74,12,),0)</f>
        <v>0</v>
      </c>
      <c r="Q66" s="54">
        <f t="shared" si="93"/>
        <v>0</v>
      </c>
      <c r="S66" s="53" t="s">
        <v>143</v>
      </c>
      <c r="T66" s="11"/>
      <c r="U66" s="68"/>
      <c r="V66" s="45">
        <f>IFERROR(VLOOKUP(T66,'Cost Master List'!$B$2:$P$74,12,),0)</f>
        <v>0</v>
      </c>
      <c r="W66" s="54">
        <f t="shared" si="94"/>
        <v>0</v>
      </c>
      <c r="Y66" s="53" t="s">
        <v>143</v>
      </c>
      <c r="Z66" s="11"/>
      <c r="AA66" s="68"/>
      <c r="AB66" s="45">
        <f>IFERROR(VLOOKUP(Z66,'Cost Master List'!$B$2:$P$74,12,),0)</f>
        <v>0</v>
      </c>
      <c r="AC66" s="54">
        <f t="shared" si="95"/>
        <v>0</v>
      </c>
      <c r="AE66" s="53" t="s">
        <v>143</v>
      </c>
      <c r="AF66" s="11"/>
      <c r="AG66" s="68"/>
      <c r="AH66" s="45">
        <f>IFERROR(VLOOKUP(AF66,'Cost Master List'!$B$2:$P$74,12,),0)</f>
        <v>0</v>
      </c>
      <c r="AI66" s="54">
        <f t="shared" si="96"/>
        <v>0</v>
      </c>
      <c r="AK66" s="53" t="s">
        <v>143</v>
      </c>
      <c r="AL66" s="11"/>
      <c r="AM66" s="68"/>
      <c r="AN66" s="45">
        <f>IFERROR(VLOOKUP(AL66,'Cost Master List'!$B$2:$P$74,12,),0)</f>
        <v>0</v>
      </c>
      <c r="AO66" s="54">
        <f t="shared" si="97"/>
        <v>0</v>
      </c>
      <c r="AQ66" s="53" t="s">
        <v>143</v>
      </c>
      <c r="AR66" s="11"/>
      <c r="AS66" s="68"/>
      <c r="AT66" s="45">
        <f>IFERROR(VLOOKUP(AR66,'Cost Master List'!$B$2:$P$74,12,),0)</f>
        <v>0</v>
      </c>
      <c r="AU66" s="54">
        <f t="shared" si="98"/>
        <v>0</v>
      </c>
      <c r="AW66" s="53" t="s">
        <v>143</v>
      </c>
      <c r="AX66" s="11"/>
      <c r="AY66" s="68"/>
      <c r="AZ66" s="45">
        <f>IFERROR(VLOOKUP(AX66,'Cost Master List'!$B$2:$P$74,12,),0)</f>
        <v>0</v>
      </c>
      <c r="BA66" s="54">
        <f t="shared" si="99"/>
        <v>0</v>
      </c>
    </row>
    <row r="67" spans="1:53" x14ac:dyDescent="0.25">
      <c r="A67" s="55" t="s">
        <v>144</v>
      </c>
      <c r="B67" s="11"/>
      <c r="C67" s="69"/>
      <c r="D67" s="46">
        <f>IFERROR(VLOOKUP(B67,'Cost Master List'!$B$2:$P$74,12,),0)</f>
        <v>0</v>
      </c>
      <c r="E67" s="56">
        <f t="shared" si="91"/>
        <v>0</v>
      </c>
      <c r="G67" s="55" t="s">
        <v>144</v>
      </c>
      <c r="H67" s="11"/>
      <c r="I67" s="69"/>
      <c r="J67" s="46">
        <f>IFERROR(VLOOKUP(H67,'Cost Master List'!$B$2:$P$74,12,),0)</f>
        <v>0</v>
      </c>
      <c r="K67" s="56">
        <f t="shared" si="92"/>
        <v>0</v>
      </c>
      <c r="M67" s="55" t="s">
        <v>144</v>
      </c>
      <c r="N67" s="11"/>
      <c r="O67" s="69"/>
      <c r="P67" s="46">
        <f>IFERROR(VLOOKUP(N67,'Cost Master List'!$B$2:$P$74,12,),0)</f>
        <v>0</v>
      </c>
      <c r="Q67" s="56">
        <f t="shared" si="93"/>
        <v>0</v>
      </c>
      <c r="S67" s="55" t="s">
        <v>144</v>
      </c>
      <c r="T67" s="11"/>
      <c r="U67" s="69"/>
      <c r="V67" s="46">
        <f>IFERROR(VLOOKUP(T67,'Cost Master List'!$B$2:$P$74,12,),0)</f>
        <v>0</v>
      </c>
      <c r="W67" s="56">
        <f t="shared" si="94"/>
        <v>0</v>
      </c>
      <c r="Y67" s="55" t="s">
        <v>144</v>
      </c>
      <c r="Z67" s="11"/>
      <c r="AA67" s="69"/>
      <c r="AB67" s="46">
        <f>IFERROR(VLOOKUP(Z67,'Cost Master List'!$B$2:$P$74,12,),0)</f>
        <v>0</v>
      </c>
      <c r="AC67" s="56">
        <f t="shared" si="95"/>
        <v>0</v>
      </c>
      <c r="AE67" s="55" t="s">
        <v>144</v>
      </c>
      <c r="AF67" s="11"/>
      <c r="AG67" s="69"/>
      <c r="AH67" s="46">
        <f>IFERROR(VLOOKUP(AF67,'Cost Master List'!$B$2:$P$74,12,),0)</f>
        <v>0</v>
      </c>
      <c r="AI67" s="56">
        <f t="shared" si="96"/>
        <v>0</v>
      </c>
      <c r="AK67" s="55" t="s">
        <v>144</v>
      </c>
      <c r="AL67" s="11"/>
      <c r="AM67" s="69"/>
      <c r="AN67" s="46">
        <f>IFERROR(VLOOKUP(AL67,'Cost Master List'!$B$2:$P$74,12,),0)</f>
        <v>0</v>
      </c>
      <c r="AO67" s="56">
        <f t="shared" si="97"/>
        <v>0</v>
      </c>
      <c r="AQ67" s="55" t="s">
        <v>144</v>
      </c>
      <c r="AR67" s="11"/>
      <c r="AS67" s="69"/>
      <c r="AT67" s="46">
        <f>IFERROR(VLOOKUP(AR67,'Cost Master List'!$B$2:$P$74,12,),0)</f>
        <v>0</v>
      </c>
      <c r="AU67" s="56">
        <f t="shared" si="98"/>
        <v>0</v>
      </c>
      <c r="AW67" s="55" t="s">
        <v>144</v>
      </c>
      <c r="AX67" s="11"/>
      <c r="AY67" s="69"/>
      <c r="AZ67" s="46">
        <f>IFERROR(VLOOKUP(AX67,'Cost Master List'!$B$2:$P$74,12,),0)</f>
        <v>0</v>
      </c>
      <c r="BA67" s="56">
        <f t="shared" si="99"/>
        <v>0</v>
      </c>
    </row>
    <row r="68" spans="1:53" x14ac:dyDescent="0.25">
      <c r="A68" s="51" t="s">
        <v>145</v>
      </c>
      <c r="B68" s="10" t="s">
        <v>186</v>
      </c>
      <c r="C68" s="8"/>
      <c r="D68" s="45">
        <f>IFERROR(VLOOKUP('Manufactured Items Models'!B68,'Cost Master List'!$B$84:$L$98,11,FALSE),0)</f>
        <v>1.6</v>
      </c>
      <c r="E68" s="54">
        <f>+D68/$A$62</f>
        <v>0.2</v>
      </c>
      <c r="G68" s="51" t="s">
        <v>145</v>
      </c>
      <c r="H68" s="10"/>
      <c r="I68" s="8"/>
      <c r="J68" s="45">
        <f>IFERROR(VLOOKUP('Manufactured Items Models'!H68,'Cost Master List'!$B$84:$L$98,11,FALSE),0)</f>
        <v>0</v>
      </c>
      <c r="K68" s="54">
        <f>+J68/$G$14</f>
        <v>0</v>
      </c>
      <c r="M68" s="51" t="s">
        <v>145</v>
      </c>
      <c r="N68" s="10"/>
      <c r="O68" s="8"/>
      <c r="P68" s="45">
        <f>IFERROR(VLOOKUP('Manufactured Items Models'!N68,'Cost Master List'!$B$84:$L$98,11,FALSE),0)</f>
        <v>0</v>
      </c>
      <c r="Q68" s="54">
        <f>+P68/$G$14</f>
        <v>0</v>
      </c>
      <c r="S68" s="51" t="s">
        <v>145</v>
      </c>
      <c r="T68" s="10"/>
      <c r="U68" s="8"/>
      <c r="V68" s="45">
        <f>IFERROR(VLOOKUP('Manufactured Items Models'!T68,'Cost Master List'!$B$84:$L$98,11,FALSE),0)</f>
        <v>0</v>
      </c>
      <c r="W68" s="54">
        <f>+V68/$G$14</f>
        <v>0</v>
      </c>
      <c r="Y68" s="51" t="s">
        <v>145</v>
      </c>
      <c r="Z68" s="10"/>
      <c r="AA68" s="8"/>
      <c r="AB68" s="45">
        <f>IFERROR(VLOOKUP('Manufactured Items Models'!Z68,'Cost Master List'!$B$84:$L$98,11,FALSE),0)</f>
        <v>0</v>
      </c>
      <c r="AC68" s="54">
        <f>+AB68/$G$14</f>
        <v>0</v>
      </c>
      <c r="AE68" s="51" t="s">
        <v>145</v>
      </c>
      <c r="AF68" s="10"/>
      <c r="AG68" s="8"/>
      <c r="AH68" s="45">
        <f>IFERROR(VLOOKUP('Manufactured Items Models'!AF68,'Cost Master List'!$B$84:$L$98,11,FALSE),0)</f>
        <v>0</v>
      </c>
      <c r="AI68" s="54">
        <f>+AH68/$G$14</f>
        <v>0</v>
      </c>
      <c r="AK68" s="51" t="s">
        <v>145</v>
      </c>
      <c r="AL68" s="10"/>
      <c r="AM68" s="8"/>
      <c r="AN68" s="45">
        <f>IFERROR(VLOOKUP('Manufactured Items Models'!AL68,'Cost Master List'!$B$84:$L$98,11,FALSE),0)</f>
        <v>0</v>
      </c>
      <c r="AO68" s="54">
        <f>+AN68/$G$14</f>
        <v>0</v>
      </c>
      <c r="AQ68" s="51" t="s">
        <v>145</v>
      </c>
      <c r="AR68" s="10"/>
      <c r="AS68" s="8"/>
      <c r="AT68" s="45">
        <f>IFERROR(VLOOKUP('Manufactured Items Models'!AR68,'Cost Master List'!$B$84:$L$98,11,FALSE),0)</f>
        <v>0</v>
      </c>
      <c r="AU68" s="54">
        <f>+AT68/$G$14</f>
        <v>0</v>
      </c>
      <c r="AW68" s="51" t="s">
        <v>145</v>
      </c>
      <c r="AX68" s="10"/>
      <c r="AY68" s="8"/>
      <c r="AZ68" s="45">
        <f>IFERROR(VLOOKUP('Manufactured Items Models'!AX68,'Cost Master List'!$B$84:$L$98,11,FALSE),0)</f>
        <v>0</v>
      </c>
      <c r="BA68" s="54">
        <f>+AZ68/$G$14</f>
        <v>0</v>
      </c>
    </row>
    <row r="69" spans="1:53" x14ac:dyDescent="0.25">
      <c r="A69" s="53" t="s">
        <v>146</v>
      </c>
      <c r="B69" s="11"/>
      <c r="D69" s="45">
        <f>IFERROR(VLOOKUP('Manufactured Items Models'!B69,'Cost Master List'!$B$84:$L$98,11,FALSE),0)</f>
        <v>0</v>
      </c>
      <c r="E69" s="54">
        <f>+D69/$A$62</f>
        <v>0</v>
      </c>
      <c r="G69" s="53" t="s">
        <v>146</v>
      </c>
      <c r="H69" s="11"/>
      <c r="J69" s="45">
        <f>IFERROR(VLOOKUP('Manufactured Items Models'!H69,'Cost Master List'!$B$84:$L$98,11,FALSE),0)</f>
        <v>0</v>
      </c>
      <c r="K69" s="54">
        <f t="shared" ref="K69:K70" si="100">+J69/$G$14</f>
        <v>0</v>
      </c>
      <c r="M69" s="53" t="s">
        <v>146</v>
      </c>
      <c r="N69" s="11"/>
      <c r="P69" s="45">
        <f>IFERROR(VLOOKUP('Manufactured Items Models'!N69,'Cost Master List'!$B$84:$L$98,11,FALSE),0)</f>
        <v>0</v>
      </c>
      <c r="Q69" s="54">
        <f t="shared" ref="Q69:Q70" si="101">+P69/$G$14</f>
        <v>0</v>
      </c>
      <c r="S69" s="53" t="s">
        <v>146</v>
      </c>
      <c r="T69" s="11"/>
      <c r="V69" s="45">
        <f>IFERROR(VLOOKUP('Manufactured Items Models'!T69,'Cost Master List'!$B$84:$L$98,11,FALSE),0)</f>
        <v>0</v>
      </c>
      <c r="W69" s="54">
        <f t="shared" ref="W69:W70" si="102">+V69/$G$14</f>
        <v>0</v>
      </c>
      <c r="Y69" s="53" t="s">
        <v>146</v>
      </c>
      <c r="Z69" s="11"/>
      <c r="AB69" s="45">
        <f>IFERROR(VLOOKUP('Manufactured Items Models'!Z69,'Cost Master List'!$B$84:$L$98,11,FALSE),0)</f>
        <v>0</v>
      </c>
      <c r="AC69" s="54">
        <f t="shared" ref="AC69:AC70" si="103">+AB69/$G$14</f>
        <v>0</v>
      </c>
      <c r="AE69" s="53" t="s">
        <v>146</v>
      </c>
      <c r="AF69" s="11"/>
      <c r="AH69" s="45">
        <f>IFERROR(VLOOKUP('Manufactured Items Models'!AF69,'Cost Master List'!$B$84:$L$98,11,FALSE),0)</f>
        <v>0</v>
      </c>
      <c r="AI69" s="54">
        <f t="shared" ref="AI69:AI70" si="104">+AH69/$G$14</f>
        <v>0</v>
      </c>
      <c r="AK69" s="53" t="s">
        <v>146</v>
      </c>
      <c r="AL69" s="11"/>
      <c r="AN69" s="45">
        <f>IFERROR(VLOOKUP('Manufactured Items Models'!AL69,'Cost Master List'!$B$84:$L$98,11,FALSE),0)</f>
        <v>0</v>
      </c>
      <c r="AO69" s="54">
        <f t="shared" ref="AO69:AO70" si="105">+AN69/$G$14</f>
        <v>0</v>
      </c>
      <c r="AQ69" s="53" t="s">
        <v>146</v>
      </c>
      <c r="AR69" s="11"/>
      <c r="AT69" s="45">
        <f>IFERROR(VLOOKUP('Manufactured Items Models'!AR69,'Cost Master List'!$B$84:$L$98,11,FALSE),0)</f>
        <v>0</v>
      </c>
      <c r="AU69" s="54">
        <f t="shared" ref="AU69:AU70" si="106">+AT69/$G$14</f>
        <v>0</v>
      </c>
      <c r="AW69" s="53" t="s">
        <v>146</v>
      </c>
      <c r="AX69" s="11"/>
      <c r="AZ69" s="45">
        <f>IFERROR(VLOOKUP('Manufactured Items Models'!AX69,'Cost Master List'!$B$84:$L$98,11,FALSE),0)</f>
        <v>0</v>
      </c>
      <c r="BA69" s="54">
        <f t="shared" ref="BA69:BA70" si="107">+AZ69/$G$14</f>
        <v>0</v>
      </c>
    </row>
    <row r="70" spans="1:53" x14ac:dyDescent="0.25">
      <c r="A70" s="55" t="s">
        <v>147</v>
      </c>
      <c r="B70" s="12"/>
      <c r="C70" s="9"/>
      <c r="D70" s="45">
        <f>IFERROR(VLOOKUP('Manufactured Items Models'!B70,'Cost Master List'!$B$84:$L$98,11,FALSE),0)</f>
        <v>0</v>
      </c>
      <c r="E70" s="54">
        <f>+D70/$A$62</f>
        <v>0</v>
      </c>
      <c r="G70" s="55" t="s">
        <v>147</v>
      </c>
      <c r="H70" s="12"/>
      <c r="I70" s="9"/>
      <c r="J70" s="45">
        <f>IFERROR(VLOOKUP('Manufactured Items Models'!H70,'Cost Master List'!$B$84:$L$98,11,FALSE),0)</f>
        <v>0</v>
      </c>
      <c r="K70" s="54">
        <f t="shared" si="100"/>
        <v>0</v>
      </c>
      <c r="M70" s="55" t="s">
        <v>147</v>
      </c>
      <c r="N70" s="12"/>
      <c r="O70" s="9"/>
      <c r="P70" s="45">
        <f>IFERROR(VLOOKUP('Manufactured Items Models'!N70,'Cost Master List'!$B$84:$L$98,11,FALSE),0)</f>
        <v>0</v>
      </c>
      <c r="Q70" s="54">
        <f t="shared" si="101"/>
        <v>0</v>
      </c>
      <c r="S70" s="55" t="s">
        <v>147</v>
      </c>
      <c r="T70" s="12"/>
      <c r="U70" s="9"/>
      <c r="V70" s="45">
        <f>IFERROR(VLOOKUP('Manufactured Items Models'!T70,'Cost Master List'!$B$84:$L$98,11,FALSE),0)</f>
        <v>0</v>
      </c>
      <c r="W70" s="54">
        <f t="shared" si="102"/>
        <v>0</v>
      </c>
      <c r="Y70" s="55" t="s">
        <v>147</v>
      </c>
      <c r="Z70" s="12"/>
      <c r="AA70" s="9"/>
      <c r="AB70" s="45">
        <f>IFERROR(VLOOKUP('Manufactured Items Models'!Z70,'Cost Master List'!$B$84:$L$98,11,FALSE),0)</f>
        <v>0</v>
      </c>
      <c r="AC70" s="54">
        <f t="shared" si="103"/>
        <v>0</v>
      </c>
      <c r="AE70" s="55" t="s">
        <v>147</v>
      </c>
      <c r="AF70" s="12"/>
      <c r="AG70" s="9"/>
      <c r="AH70" s="45">
        <f>IFERROR(VLOOKUP('Manufactured Items Models'!AF70,'Cost Master List'!$B$84:$L$98,11,FALSE),0)</f>
        <v>0</v>
      </c>
      <c r="AI70" s="54">
        <f t="shared" si="104"/>
        <v>0</v>
      </c>
      <c r="AK70" s="55" t="s">
        <v>147</v>
      </c>
      <c r="AL70" s="12"/>
      <c r="AM70" s="9"/>
      <c r="AN70" s="45">
        <f>IFERROR(VLOOKUP('Manufactured Items Models'!AL70,'Cost Master List'!$B$84:$L$98,11,FALSE),0)</f>
        <v>0</v>
      </c>
      <c r="AO70" s="54">
        <f t="shared" si="105"/>
        <v>0</v>
      </c>
      <c r="AQ70" s="55" t="s">
        <v>147</v>
      </c>
      <c r="AR70" s="12"/>
      <c r="AS70" s="9"/>
      <c r="AT70" s="45">
        <f>IFERROR(VLOOKUP('Manufactured Items Models'!AR70,'Cost Master List'!$B$84:$L$98,11,FALSE),0)</f>
        <v>0</v>
      </c>
      <c r="AU70" s="54">
        <f t="shared" si="106"/>
        <v>0</v>
      </c>
      <c r="AW70" s="55" t="s">
        <v>147</v>
      </c>
      <c r="AX70" s="12"/>
      <c r="AY70" s="9"/>
      <c r="AZ70" s="45">
        <f>IFERROR(VLOOKUP('Manufactured Items Models'!AX70,'Cost Master List'!$B$84:$L$98,11,FALSE),0)</f>
        <v>0</v>
      </c>
      <c r="BA70" s="54">
        <f t="shared" si="107"/>
        <v>0</v>
      </c>
    </row>
    <row r="71" spans="1:53" x14ac:dyDescent="0.25">
      <c r="A71" s="57" t="s">
        <v>148</v>
      </c>
      <c r="B71" s="47"/>
      <c r="C71" s="47"/>
      <c r="D71" s="47"/>
      <c r="E71" s="58">
        <v>1</v>
      </c>
      <c r="G71" s="57" t="s">
        <v>148</v>
      </c>
      <c r="H71" s="47"/>
      <c r="I71" s="47"/>
      <c r="J71" s="47"/>
      <c r="K71" s="58">
        <v>1</v>
      </c>
      <c r="M71" s="57" t="s">
        <v>148</v>
      </c>
      <c r="N71" s="47"/>
      <c r="O71" s="47"/>
      <c r="P71" s="47"/>
      <c r="Q71" s="58">
        <v>1</v>
      </c>
      <c r="S71" s="57" t="s">
        <v>148</v>
      </c>
      <c r="T71" s="47"/>
      <c r="U71" s="47"/>
      <c r="V71" s="47"/>
      <c r="W71" s="58">
        <v>1</v>
      </c>
      <c r="Y71" s="57" t="s">
        <v>148</v>
      </c>
      <c r="Z71" s="47"/>
      <c r="AA71" s="47"/>
      <c r="AB71" s="47"/>
      <c r="AC71" s="58">
        <v>1</v>
      </c>
      <c r="AE71" s="57" t="s">
        <v>148</v>
      </c>
      <c r="AF71" s="47"/>
      <c r="AG71" s="47"/>
      <c r="AH71" s="47"/>
      <c r="AI71" s="58">
        <v>1</v>
      </c>
      <c r="AK71" s="57" t="s">
        <v>148</v>
      </c>
      <c r="AL71" s="47"/>
      <c r="AM71" s="47"/>
      <c r="AN71" s="47"/>
      <c r="AO71" s="58">
        <v>1</v>
      </c>
      <c r="AQ71" s="57" t="s">
        <v>148</v>
      </c>
      <c r="AR71" s="47"/>
      <c r="AS71" s="47"/>
      <c r="AT71" s="47"/>
      <c r="AU71" s="58">
        <v>1</v>
      </c>
      <c r="AW71" s="57" t="s">
        <v>148</v>
      </c>
      <c r="AX71" s="47"/>
      <c r="AY71" s="47"/>
      <c r="AZ71" s="47"/>
      <c r="BA71" s="58">
        <v>1</v>
      </c>
    </row>
    <row r="72" spans="1:53" ht="15.75" thickBot="1" x14ac:dyDescent="0.3">
      <c r="A72" s="60"/>
      <c r="B72" s="84" t="s">
        <v>330</v>
      </c>
      <c r="C72" s="61"/>
      <c r="D72" s="61" t="s">
        <v>185</v>
      </c>
      <c r="E72" s="62">
        <f>+SUM(E63:E71)</f>
        <v>3.0140087634150103</v>
      </c>
      <c r="G72" s="60"/>
      <c r="H72" s="84"/>
      <c r="I72" s="61"/>
      <c r="J72" s="61" t="s">
        <v>185</v>
      </c>
      <c r="K72" s="62">
        <f>+SUM(K63:K71)</f>
        <v>1</v>
      </c>
      <c r="M72" s="60"/>
      <c r="N72" s="84"/>
      <c r="O72" s="61"/>
      <c r="P72" s="61" t="s">
        <v>185</v>
      </c>
      <c r="Q72" s="62">
        <f>+SUM(Q63:Q71)</f>
        <v>1</v>
      </c>
      <c r="S72" s="60"/>
      <c r="T72" s="84"/>
      <c r="U72" s="61"/>
      <c r="V72" s="61" t="s">
        <v>185</v>
      </c>
      <c r="W72" s="62">
        <f>+SUM(W63:W71)</f>
        <v>1</v>
      </c>
      <c r="Y72" s="60"/>
      <c r="Z72" s="84"/>
      <c r="AA72" s="61"/>
      <c r="AB72" s="61" t="s">
        <v>185</v>
      </c>
      <c r="AC72" s="62">
        <f>+SUM(AC63:AC71)</f>
        <v>1</v>
      </c>
      <c r="AE72" s="60"/>
      <c r="AF72" s="84"/>
      <c r="AG72" s="61"/>
      <c r="AH72" s="61" t="s">
        <v>185</v>
      </c>
      <c r="AI72" s="62">
        <f>+SUM(AI63:AI71)</f>
        <v>1</v>
      </c>
      <c r="AK72" s="57"/>
      <c r="AL72" s="47"/>
      <c r="AM72" s="47"/>
      <c r="AN72" s="47" t="s">
        <v>185</v>
      </c>
      <c r="AO72" s="59">
        <f>+SUM(AO63:AO71)</f>
        <v>1</v>
      </c>
      <c r="AQ72" s="57"/>
      <c r="AR72" s="47"/>
      <c r="AS72" s="47"/>
      <c r="AT72" s="47" t="s">
        <v>185</v>
      </c>
      <c r="AU72" s="59">
        <f>+SUM(AU63:AU71)</f>
        <v>1</v>
      </c>
      <c r="AW72" s="57"/>
      <c r="AX72" s="47"/>
      <c r="AY72" s="47"/>
      <c r="AZ72" s="47" t="s">
        <v>185</v>
      </c>
      <c r="BA72" s="59">
        <f>+SUM(BA63:BA71)</f>
        <v>1</v>
      </c>
    </row>
    <row r="73" spans="1:53" x14ac:dyDescent="0.25">
      <c r="A73" s="64"/>
      <c r="B73" s="63"/>
      <c r="C73" s="63"/>
      <c r="D73" s="63"/>
      <c r="E73" s="65"/>
      <c r="G73" s="64"/>
      <c r="H73" s="63"/>
      <c r="I73" s="63"/>
      <c r="J73" s="63"/>
      <c r="K73" s="65"/>
      <c r="M73" s="64"/>
      <c r="N73" s="63"/>
      <c r="O73" s="63"/>
      <c r="P73" s="63"/>
      <c r="Q73" s="65"/>
      <c r="S73" s="64"/>
      <c r="T73" s="63"/>
      <c r="U73" s="63"/>
      <c r="V73" s="63"/>
      <c r="W73" s="65"/>
      <c r="Y73" s="64"/>
      <c r="Z73" s="63"/>
      <c r="AA73" s="63"/>
      <c r="AB73" s="63"/>
      <c r="AC73" s="65"/>
      <c r="AE73" s="64"/>
      <c r="AF73" s="63"/>
      <c r="AG73" s="63"/>
      <c r="AH73" s="63"/>
      <c r="AI73" s="65"/>
      <c r="AK73" s="64"/>
      <c r="AL73" s="63"/>
      <c r="AM73" s="63"/>
      <c r="AN73" s="63"/>
      <c r="AO73" s="65"/>
      <c r="AQ73" s="64"/>
      <c r="AR73" s="63"/>
      <c r="AS73" s="63"/>
      <c r="AT73" s="63"/>
      <c r="AU73" s="65"/>
      <c r="AW73" s="64"/>
      <c r="AX73" s="63"/>
      <c r="AY73" s="63"/>
      <c r="AZ73" s="63"/>
      <c r="BA73" s="65"/>
    </row>
    <row r="74" spans="1:53" x14ac:dyDescent="0.25">
      <c r="A74" s="48">
        <v>44</v>
      </c>
      <c r="B74" s="82" t="s">
        <v>196</v>
      </c>
      <c r="C74" s="6" t="s">
        <v>138</v>
      </c>
      <c r="D74" s="6" t="s">
        <v>23</v>
      </c>
      <c r="E74" s="50" t="s">
        <v>139</v>
      </c>
      <c r="G74" s="48"/>
      <c r="H74" s="82"/>
      <c r="I74" s="6" t="s">
        <v>138</v>
      </c>
      <c r="J74" s="6" t="s">
        <v>23</v>
      </c>
      <c r="K74" s="50" t="s">
        <v>139</v>
      </c>
      <c r="M74" s="48"/>
      <c r="N74" s="82"/>
      <c r="O74" s="6" t="s">
        <v>138</v>
      </c>
      <c r="P74" s="6" t="s">
        <v>23</v>
      </c>
      <c r="Q74" s="50" t="s">
        <v>139</v>
      </c>
      <c r="S74" s="48"/>
      <c r="T74" s="82"/>
      <c r="U74" s="6" t="s">
        <v>138</v>
      </c>
      <c r="V74" s="6" t="s">
        <v>23</v>
      </c>
      <c r="W74" s="50" t="s">
        <v>139</v>
      </c>
      <c r="Y74" s="48"/>
      <c r="Z74" s="82"/>
      <c r="AA74" s="6" t="s">
        <v>138</v>
      </c>
      <c r="AB74" s="6" t="s">
        <v>23</v>
      </c>
      <c r="AC74" s="50" t="s">
        <v>139</v>
      </c>
      <c r="AE74" s="48"/>
      <c r="AF74" s="82"/>
      <c r="AG74" s="6" t="s">
        <v>138</v>
      </c>
      <c r="AH74" s="6" t="s">
        <v>23</v>
      </c>
      <c r="AI74" s="50" t="s">
        <v>139</v>
      </c>
      <c r="AK74" s="48"/>
      <c r="AL74" s="82"/>
      <c r="AM74" s="6" t="s">
        <v>138</v>
      </c>
      <c r="AN74" s="6" t="s">
        <v>23</v>
      </c>
      <c r="AO74" s="50" t="s">
        <v>139</v>
      </c>
      <c r="AQ74" s="48"/>
      <c r="AR74" s="82"/>
      <c r="AS74" s="6" t="s">
        <v>138</v>
      </c>
      <c r="AT74" s="6" t="s">
        <v>23</v>
      </c>
      <c r="AU74" s="50" t="s">
        <v>139</v>
      </c>
      <c r="AW74" s="48"/>
      <c r="AX74" s="82"/>
      <c r="AY74" s="6" t="s">
        <v>138</v>
      </c>
      <c r="AZ74" s="6" t="s">
        <v>23</v>
      </c>
      <c r="BA74" s="50" t="s">
        <v>139</v>
      </c>
    </row>
    <row r="75" spans="1:53" x14ac:dyDescent="0.25">
      <c r="A75" s="51" t="s">
        <v>140</v>
      </c>
      <c r="B75" s="10" t="s">
        <v>303</v>
      </c>
      <c r="C75" s="67">
        <v>0.27</v>
      </c>
      <c r="D75" s="44">
        <f>IFERROR(VLOOKUP(B75,'Cost Master List'!$B$2:$P$74,12,),0)</f>
        <v>6.1053605610037103</v>
      </c>
      <c r="E75" s="52">
        <f>+D75*C75</f>
        <v>1.6484473514710019</v>
      </c>
      <c r="G75" s="51" t="s">
        <v>140</v>
      </c>
      <c r="H75" s="10"/>
      <c r="I75" s="67"/>
      <c r="J75" s="44">
        <f>IFERROR(VLOOKUP(H75,'Cost Master List'!$B$2:$P$74,12,),0)</f>
        <v>0</v>
      </c>
      <c r="K75" s="52">
        <f>+J75*I75</f>
        <v>0</v>
      </c>
      <c r="M75" s="51" t="s">
        <v>140</v>
      </c>
      <c r="N75" s="10"/>
      <c r="O75" s="67"/>
      <c r="P75" s="44">
        <f>IFERROR(VLOOKUP(N75,'Cost Master List'!$B$2:$P$74,12,),0)</f>
        <v>0</v>
      </c>
      <c r="Q75" s="52">
        <f>+P75*O75</f>
        <v>0</v>
      </c>
      <c r="S75" s="51" t="s">
        <v>140</v>
      </c>
      <c r="T75" s="10"/>
      <c r="U75" s="67"/>
      <c r="V75" s="44">
        <f>IFERROR(VLOOKUP(T75,'Cost Master List'!$B$2:$P$74,12,),0)</f>
        <v>0</v>
      </c>
      <c r="W75" s="52">
        <f>+V75*U75</f>
        <v>0</v>
      </c>
      <c r="Y75" s="51" t="s">
        <v>140</v>
      </c>
      <c r="Z75" s="10"/>
      <c r="AA75" s="67"/>
      <c r="AB75" s="44">
        <f>IFERROR(VLOOKUP(Z75,'Cost Master List'!$B$2:$P$74,12,),0)</f>
        <v>0</v>
      </c>
      <c r="AC75" s="52">
        <f>+AB75*AA75</f>
        <v>0</v>
      </c>
      <c r="AE75" s="51" t="s">
        <v>140</v>
      </c>
      <c r="AF75" s="10"/>
      <c r="AG75" s="67"/>
      <c r="AH75" s="44">
        <f>IFERROR(VLOOKUP(AF75,'Cost Master List'!$B$2:$P$74,12,),0)</f>
        <v>0</v>
      </c>
      <c r="AI75" s="52">
        <f>+AH75*AG75</f>
        <v>0</v>
      </c>
      <c r="AK75" s="51" t="s">
        <v>140</v>
      </c>
      <c r="AL75" s="10"/>
      <c r="AM75" s="67"/>
      <c r="AN75" s="44">
        <f>IFERROR(VLOOKUP(AL75,'Cost Master List'!$B$2:$P$74,12,),0)</f>
        <v>0</v>
      </c>
      <c r="AO75" s="52">
        <f>+AN75*AM75</f>
        <v>0</v>
      </c>
      <c r="AQ75" s="51" t="s">
        <v>140</v>
      </c>
      <c r="AR75" s="10"/>
      <c r="AS75" s="67"/>
      <c r="AT75" s="44">
        <f>IFERROR(VLOOKUP(AR75,'Cost Master List'!$B$2:$P$74,12,),0)</f>
        <v>0</v>
      </c>
      <c r="AU75" s="52">
        <f>+AT75*AS75</f>
        <v>0</v>
      </c>
      <c r="AW75" s="51" t="s">
        <v>140</v>
      </c>
      <c r="AX75" s="10"/>
      <c r="AY75" s="67"/>
      <c r="AZ75" s="44">
        <f>IFERROR(VLOOKUP(AX75,'Cost Master List'!$B$2:$P$74,12,),0)</f>
        <v>0</v>
      </c>
      <c r="BA75" s="52">
        <f>+AZ75*AY75</f>
        <v>0</v>
      </c>
    </row>
    <row r="76" spans="1:53" x14ac:dyDescent="0.25">
      <c r="A76" s="53" t="s">
        <v>141</v>
      </c>
      <c r="B76" s="11" t="s">
        <v>198</v>
      </c>
      <c r="C76" s="68">
        <v>0.73</v>
      </c>
      <c r="D76" s="45">
        <f>IFERROR(VLOOKUP(B76,'Cost Master List'!$B$2:$P$74,12,),0)</f>
        <v>0.22679645471781987</v>
      </c>
      <c r="E76" s="54">
        <f t="shared" ref="E76:E79" si="108">+D76*C76</f>
        <v>0.1655614119440085</v>
      </c>
      <c r="G76" s="53" t="s">
        <v>141</v>
      </c>
      <c r="H76" s="11"/>
      <c r="I76" s="68"/>
      <c r="J76" s="45">
        <f>IFERROR(VLOOKUP(H76,'Cost Master List'!$B$2:$P$74,12,),0)</f>
        <v>0</v>
      </c>
      <c r="K76" s="54">
        <f t="shared" ref="K76:K79" si="109">+J76*I76</f>
        <v>0</v>
      </c>
      <c r="M76" s="53" t="s">
        <v>141</v>
      </c>
      <c r="N76" s="11"/>
      <c r="O76" s="68"/>
      <c r="P76" s="45">
        <f>IFERROR(VLOOKUP(N76,'Cost Master List'!$B$2:$P$74,12,),0)</f>
        <v>0</v>
      </c>
      <c r="Q76" s="54">
        <f t="shared" ref="Q76:Q79" si="110">+P76*O76</f>
        <v>0</v>
      </c>
      <c r="S76" s="53" t="s">
        <v>141</v>
      </c>
      <c r="T76" s="11"/>
      <c r="U76" s="68"/>
      <c r="V76" s="45">
        <f>IFERROR(VLOOKUP(T76,'Cost Master List'!$B$2:$P$74,12,),0)</f>
        <v>0</v>
      </c>
      <c r="W76" s="54">
        <f t="shared" ref="W76:W79" si="111">+V76*U76</f>
        <v>0</v>
      </c>
      <c r="Y76" s="53" t="s">
        <v>141</v>
      </c>
      <c r="Z76" s="11"/>
      <c r="AA76" s="68"/>
      <c r="AB76" s="45">
        <f>IFERROR(VLOOKUP(Z76,'Cost Master List'!$B$2:$P$74,12,),0)</f>
        <v>0</v>
      </c>
      <c r="AC76" s="54">
        <f t="shared" ref="AC76:AC79" si="112">+AB76*AA76</f>
        <v>0</v>
      </c>
      <c r="AE76" s="53" t="s">
        <v>141</v>
      </c>
      <c r="AF76" s="11"/>
      <c r="AG76" s="68"/>
      <c r="AH76" s="45">
        <f>IFERROR(VLOOKUP(AF76,'Cost Master List'!$B$2:$P$74,12,),0)</f>
        <v>0</v>
      </c>
      <c r="AI76" s="54">
        <f t="shared" ref="AI76:AI79" si="113">+AH76*AG76</f>
        <v>0</v>
      </c>
      <c r="AK76" s="53" t="s">
        <v>141</v>
      </c>
      <c r="AL76" s="11"/>
      <c r="AM76" s="68"/>
      <c r="AN76" s="45">
        <f>IFERROR(VLOOKUP(AL76,'Cost Master List'!$B$2:$P$74,12,),0)</f>
        <v>0</v>
      </c>
      <c r="AO76" s="54">
        <f t="shared" ref="AO76:AO79" si="114">+AN76*AM76</f>
        <v>0</v>
      </c>
      <c r="AQ76" s="53" t="s">
        <v>141</v>
      </c>
      <c r="AR76" s="11"/>
      <c r="AS76" s="68"/>
      <c r="AT76" s="45">
        <f>IFERROR(VLOOKUP(AR76,'Cost Master List'!$B$2:$P$74,12,),0)</f>
        <v>0</v>
      </c>
      <c r="AU76" s="54">
        <f t="shared" ref="AU76:AU79" si="115">+AT76*AS76</f>
        <v>0</v>
      </c>
      <c r="AW76" s="53" t="s">
        <v>141</v>
      </c>
      <c r="AX76" s="11"/>
      <c r="AY76" s="68"/>
      <c r="AZ76" s="45">
        <f>IFERROR(VLOOKUP(AX76,'Cost Master List'!$B$2:$P$74,12,),0)</f>
        <v>0</v>
      </c>
      <c r="BA76" s="54">
        <f t="shared" ref="BA76:BA79" si="116">+AZ76*AY76</f>
        <v>0</v>
      </c>
    </row>
    <row r="77" spans="1:53" x14ac:dyDescent="0.25">
      <c r="A77" s="53" t="s">
        <v>142</v>
      </c>
      <c r="B77" s="11"/>
      <c r="C77" s="68"/>
      <c r="D77" s="45">
        <f>IFERROR(VLOOKUP(B77,'Cost Master List'!$B$2:$P$74,12,),0)</f>
        <v>0</v>
      </c>
      <c r="E77" s="54">
        <f t="shared" si="108"/>
        <v>0</v>
      </c>
      <c r="G77" s="53" t="s">
        <v>142</v>
      </c>
      <c r="H77" s="11"/>
      <c r="I77" s="68"/>
      <c r="J77" s="45">
        <f>IFERROR(VLOOKUP(H77,'Cost Master List'!$B$2:$P$74,12,),0)</f>
        <v>0</v>
      </c>
      <c r="K77" s="54">
        <f t="shared" si="109"/>
        <v>0</v>
      </c>
      <c r="M77" s="53" t="s">
        <v>142</v>
      </c>
      <c r="N77" s="11"/>
      <c r="O77" s="68"/>
      <c r="P77" s="45">
        <f>IFERROR(VLOOKUP(N77,'Cost Master List'!$B$2:$P$74,12,),0)</f>
        <v>0</v>
      </c>
      <c r="Q77" s="54">
        <f t="shared" si="110"/>
        <v>0</v>
      </c>
      <c r="S77" s="53" t="s">
        <v>142</v>
      </c>
      <c r="T77" s="11"/>
      <c r="U77" s="68"/>
      <c r="V77" s="45">
        <f>IFERROR(VLOOKUP(T77,'Cost Master List'!$B$2:$P$74,12,),0)</f>
        <v>0</v>
      </c>
      <c r="W77" s="54">
        <f t="shared" si="111"/>
        <v>0</v>
      </c>
      <c r="Y77" s="53" t="s">
        <v>142</v>
      </c>
      <c r="Z77" s="11"/>
      <c r="AA77" s="68"/>
      <c r="AB77" s="45">
        <f>IFERROR(VLOOKUP(Z77,'Cost Master List'!$B$2:$P$74,12,),0)</f>
        <v>0</v>
      </c>
      <c r="AC77" s="54">
        <f t="shared" si="112"/>
        <v>0</v>
      </c>
      <c r="AE77" s="53" t="s">
        <v>142</v>
      </c>
      <c r="AF77" s="11"/>
      <c r="AG77" s="68"/>
      <c r="AH77" s="45">
        <f>IFERROR(VLOOKUP(AF77,'Cost Master List'!$B$2:$P$74,12,),0)</f>
        <v>0</v>
      </c>
      <c r="AI77" s="54">
        <f t="shared" si="113"/>
        <v>0</v>
      </c>
      <c r="AK77" s="53" t="s">
        <v>142</v>
      </c>
      <c r="AL77" s="11"/>
      <c r="AM77" s="68"/>
      <c r="AN77" s="45">
        <f>IFERROR(VLOOKUP(AL77,'Cost Master List'!$B$2:$P$74,12,),0)</f>
        <v>0</v>
      </c>
      <c r="AO77" s="54">
        <f t="shared" si="114"/>
        <v>0</v>
      </c>
      <c r="AQ77" s="53" t="s">
        <v>142</v>
      </c>
      <c r="AR77" s="11"/>
      <c r="AS77" s="68"/>
      <c r="AT77" s="45">
        <f>IFERROR(VLOOKUP(AR77,'Cost Master List'!$B$2:$P$74,12,),0)</f>
        <v>0</v>
      </c>
      <c r="AU77" s="54">
        <f t="shared" si="115"/>
        <v>0</v>
      </c>
      <c r="AW77" s="53" t="s">
        <v>142</v>
      </c>
      <c r="AX77" s="11"/>
      <c r="AY77" s="68"/>
      <c r="AZ77" s="45">
        <f>IFERROR(VLOOKUP(AX77,'Cost Master List'!$B$2:$P$74,12,),0)</f>
        <v>0</v>
      </c>
      <c r="BA77" s="54">
        <f t="shared" si="116"/>
        <v>0</v>
      </c>
    </row>
    <row r="78" spans="1:53" x14ac:dyDescent="0.25">
      <c r="A78" s="53" t="s">
        <v>143</v>
      </c>
      <c r="B78" s="11"/>
      <c r="C78" s="68"/>
      <c r="D78" s="45">
        <f>IFERROR(VLOOKUP(B78,'Cost Master List'!$B$2:$P$74,12,),0)</f>
        <v>0</v>
      </c>
      <c r="E78" s="54">
        <f t="shared" si="108"/>
        <v>0</v>
      </c>
      <c r="G78" s="53" t="s">
        <v>143</v>
      </c>
      <c r="H78" s="11"/>
      <c r="I78" s="68"/>
      <c r="J78" s="45">
        <f>IFERROR(VLOOKUP(H78,'Cost Master List'!$B$2:$P$74,12,),0)</f>
        <v>0</v>
      </c>
      <c r="K78" s="54">
        <f t="shared" si="109"/>
        <v>0</v>
      </c>
      <c r="M78" s="53" t="s">
        <v>143</v>
      </c>
      <c r="N78" s="11"/>
      <c r="O78" s="68"/>
      <c r="P78" s="45">
        <f>IFERROR(VLOOKUP(N78,'Cost Master List'!$B$2:$P$74,12,),0)</f>
        <v>0</v>
      </c>
      <c r="Q78" s="54">
        <f t="shared" si="110"/>
        <v>0</v>
      </c>
      <c r="S78" s="53" t="s">
        <v>143</v>
      </c>
      <c r="T78" s="11"/>
      <c r="U78" s="68"/>
      <c r="V78" s="45">
        <f>IFERROR(VLOOKUP(T78,'Cost Master List'!$B$2:$P$74,12,),0)</f>
        <v>0</v>
      </c>
      <c r="W78" s="54">
        <f t="shared" si="111"/>
        <v>0</v>
      </c>
      <c r="Y78" s="53" t="s">
        <v>143</v>
      </c>
      <c r="Z78" s="11"/>
      <c r="AA78" s="68"/>
      <c r="AB78" s="45">
        <f>IFERROR(VLOOKUP(Z78,'Cost Master List'!$B$2:$P$74,12,),0)</f>
        <v>0</v>
      </c>
      <c r="AC78" s="54">
        <f t="shared" si="112"/>
        <v>0</v>
      </c>
      <c r="AE78" s="53" t="s">
        <v>143</v>
      </c>
      <c r="AF78" s="11"/>
      <c r="AG78" s="68"/>
      <c r="AH78" s="45">
        <f>IFERROR(VLOOKUP(AF78,'Cost Master List'!$B$2:$P$74,12,),0)</f>
        <v>0</v>
      </c>
      <c r="AI78" s="54">
        <f t="shared" si="113"/>
        <v>0</v>
      </c>
      <c r="AK78" s="53" t="s">
        <v>143</v>
      </c>
      <c r="AL78" s="11"/>
      <c r="AM78" s="68"/>
      <c r="AN78" s="45">
        <f>IFERROR(VLOOKUP(AL78,'Cost Master List'!$B$2:$P$74,12,),0)</f>
        <v>0</v>
      </c>
      <c r="AO78" s="54">
        <f t="shared" si="114"/>
        <v>0</v>
      </c>
      <c r="AQ78" s="53" t="s">
        <v>143</v>
      </c>
      <c r="AR78" s="11"/>
      <c r="AS78" s="68"/>
      <c r="AT78" s="45">
        <f>IFERROR(VLOOKUP(AR78,'Cost Master List'!$B$2:$P$74,12,),0)</f>
        <v>0</v>
      </c>
      <c r="AU78" s="54">
        <f t="shared" si="115"/>
        <v>0</v>
      </c>
      <c r="AW78" s="53" t="s">
        <v>143</v>
      </c>
      <c r="AX78" s="11"/>
      <c r="AY78" s="68"/>
      <c r="AZ78" s="45">
        <f>IFERROR(VLOOKUP(AX78,'Cost Master List'!$B$2:$P$74,12,),0)</f>
        <v>0</v>
      </c>
      <c r="BA78" s="54">
        <f t="shared" si="116"/>
        <v>0</v>
      </c>
    </row>
    <row r="79" spans="1:53" x14ac:dyDescent="0.25">
      <c r="A79" s="55" t="s">
        <v>144</v>
      </c>
      <c r="B79" s="11"/>
      <c r="C79" s="69"/>
      <c r="D79" s="46">
        <f>IFERROR(VLOOKUP(B79,'Cost Master List'!$B$2:$P$74,12,),0)</f>
        <v>0</v>
      </c>
      <c r="E79" s="56">
        <f t="shared" si="108"/>
        <v>0</v>
      </c>
      <c r="G79" s="55" t="s">
        <v>144</v>
      </c>
      <c r="H79" s="11"/>
      <c r="I79" s="69"/>
      <c r="J79" s="46">
        <f>IFERROR(VLOOKUP(H79,'Cost Master List'!$B$2:$P$74,12,),0)</f>
        <v>0</v>
      </c>
      <c r="K79" s="56">
        <f t="shared" si="109"/>
        <v>0</v>
      </c>
      <c r="M79" s="55" t="s">
        <v>144</v>
      </c>
      <c r="N79" s="11"/>
      <c r="O79" s="69"/>
      <c r="P79" s="46">
        <f>IFERROR(VLOOKUP(N79,'Cost Master List'!$B$2:$P$74,12,),0)</f>
        <v>0</v>
      </c>
      <c r="Q79" s="56">
        <f t="shared" si="110"/>
        <v>0</v>
      </c>
      <c r="S79" s="55" t="s">
        <v>144</v>
      </c>
      <c r="T79" s="11"/>
      <c r="U79" s="69"/>
      <c r="V79" s="46">
        <f>IFERROR(VLOOKUP(T79,'Cost Master List'!$B$2:$P$74,12,),0)</f>
        <v>0</v>
      </c>
      <c r="W79" s="56">
        <f t="shared" si="111"/>
        <v>0</v>
      </c>
      <c r="Y79" s="55" t="s">
        <v>144</v>
      </c>
      <c r="Z79" s="11"/>
      <c r="AA79" s="69"/>
      <c r="AB79" s="46">
        <f>IFERROR(VLOOKUP(Z79,'Cost Master List'!$B$2:$P$74,12,),0)</f>
        <v>0</v>
      </c>
      <c r="AC79" s="56">
        <f t="shared" si="112"/>
        <v>0</v>
      </c>
      <c r="AE79" s="55" t="s">
        <v>144</v>
      </c>
      <c r="AF79" s="11"/>
      <c r="AG79" s="69"/>
      <c r="AH79" s="46">
        <f>IFERROR(VLOOKUP(AF79,'Cost Master List'!$B$2:$P$74,12,),0)</f>
        <v>0</v>
      </c>
      <c r="AI79" s="56">
        <f t="shared" si="113"/>
        <v>0</v>
      </c>
      <c r="AK79" s="55" t="s">
        <v>144</v>
      </c>
      <c r="AL79" s="11"/>
      <c r="AM79" s="69"/>
      <c r="AN79" s="46">
        <f>IFERROR(VLOOKUP(AL79,'Cost Master List'!$B$2:$P$74,12,),0)</f>
        <v>0</v>
      </c>
      <c r="AO79" s="56">
        <f t="shared" si="114"/>
        <v>0</v>
      </c>
      <c r="AQ79" s="55" t="s">
        <v>144</v>
      </c>
      <c r="AR79" s="11"/>
      <c r="AS79" s="69"/>
      <c r="AT79" s="46">
        <f>IFERROR(VLOOKUP(AR79,'Cost Master List'!$B$2:$P$74,12,),0)</f>
        <v>0</v>
      </c>
      <c r="AU79" s="56">
        <f t="shared" si="115"/>
        <v>0</v>
      </c>
      <c r="AW79" s="55" t="s">
        <v>144</v>
      </c>
      <c r="AX79" s="11"/>
      <c r="AY79" s="69"/>
      <c r="AZ79" s="46">
        <f>IFERROR(VLOOKUP(AX79,'Cost Master List'!$B$2:$P$74,12,),0)</f>
        <v>0</v>
      </c>
      <c r="BA79" s="56">
        <f t="shared" si="116"/>
        <v>0</v>
      </c>
    </row>
    <row r="80" spans="1:53" x14ac:dyDescent="0.25">
      <c r="A80" s="51" t="s">
        <v>145</v>
      </c>
      <c r="B80" s="10" t="s">
        <v>186</v>
      </c>
      <c r="C80" s="8"/>
      <c r="D80" s="45">
        <f>IFERROR(VLOOKUP('Manufactured Items Models'!B80,'Cost Master List'!$B$84:$L$98,11,FALSE),0)</f>
        <v>1.6</v>
      </c>
      <c r="E80" s="54">
        <f>+D80/$A$74</f>
        <v>3.6363636363636369E-2</v>
      </c>
      <c r="G80" s="51" t="s">
        <v>145</v>
      </c>
      <c r="H80" s="10"/>
      <c r="I80" s="8"/>
      <c r="J80" s="45">
        <f>IFERROR(VLOOKUP('Manufactured Items Models'!H80,'Cost Master List'!$B$84:$L$98,11,FALSE),0)</f>
        <v>0</v>
      </c>
      <c r="K80" s="54">
        <f>+J80/$G$14</f>
        <v>0</v>
      </c>
      <c r="M80" s="51" t="s">
        <v>145</v>
      </c>
      <c r="N80" s="10"/>
      <c r="O80" s="8"/>
      <c r="P80" s="45">
        <f>IFERROR(VLOOKUP('Manufactured Items Models'!N80,'Cost Master List'!$B$84:$L$98,11,FALSE),0)</f>
        <v>0</v>
      </c>
      <c r="Q80" s="54">
        <f>+P80/$G$14</f>
        <v>0</v>
      </c>
      <c r="S80" s="51" t="s">
        <v>145</v>
      </c>
      <c r="T80" s="10"/>
      <c r="U80" s="8"/>
      <c r="V80" s="45">
        <f>IFERROR(VLOOKUP('Manufactured Items Models'!T80,'Cost Master List'!$B$84:$L$98,11,FALSE),0)</f>
        <v>0</v>
      </c>
      <c r="W80" s="54">
        <f>+V80/$G$14</f>
        <v>0</v>
      </c>
      <c r="Y80" s="51" t="s">
        <v>145</v>
      </c>
      <c r="Z80" s="10"/>
      <c r="AA80" s="8"/>
      <c r="AB80" s="45">
        <f>IFERROR(VLOOKUP('Manufactured Items Models'!Z80,'Cost Master List'!$B$84:$L$98,11,FALSE),0)</f>
        <v>0</v>
      </c>
      <c r="AC80" s="54">
        <f>+AB80/$G$14</f>
        <v>0</v>
      </c>
      <c r="AE80" s="51" t="s">
        <v>145</v>
      </c>
      <c r="AF80" s="10"/>
      <c r="AG80" s="8"/>
      <c r="AH80" s="45">
        <f>IFERROR(VLOOKUP('Manufactured Items Models'!AF80,'Cost Master List'!$B$84:$L$98,11,FALSE),0)</f>
        <v>0</v>
      </c>
      <c r="AI80" s="54">
        <f>+AH80/$G$14</f>
        <v>0</v>
      </c>
      <c r="AK80" s="51" t="s">
        <v>145</v>
      </c>
      <c r="AL80" s="10"/>
      <c r="AM80" s="8"/>
      <c r="AN80" s="45">
        <f>IFERROR(VLOOKUP('Manufactured Items Models'!AL80,'Cost Master List'!$B$84:$L$98,11,FALSE),0)</f>
        <v>0</v>
      </c>
      <c r="AO80" s="54">
        <f>+AN80/$G$14</f>
        <v>0</v>
      </c>
      <c r="AQ80" s="51" t="s">
        <v>145</v>
      </c>
      <c r="AR80" s="10"/>
      <c r="AS80" s="8"/>
      <c r="AT80" s="45">
        <f>IFERROR(VLOOKUP('Manufactured Items Models'!AR80,'Cost Master List'!$B$84:$L$98,11,FALSE),0)</f>
        <v>0</v>
      </c>
      <c r="AU80" s="54">
        <f>+AT80/$G$14</f>
        <v>0</v>
      </c>
      <c r="AW80" s="51" t="s">
        <v>145</v>
      </c>
      <c r="AX80" s="10"/>
      <c r="AY80" s="8"/>
      <c r="AZ80" s="45">
        <f>IFERROR(VLOOKUP('Manufactured Items Models'!AX80,'Cost Master List'!$B$84:$L$98,11,FALSE),0)</f>
        <v>0</v>
      </c>
      <c r="BA80" s="54">
        <f>+AZ80/$G$14</f>
        <v>0</v>
      </c>
    </row>
    <row r="81" spans="1:53" x14ac:dyDescent="0.25">
      <c r="A81" s="53" t="s">
        <v>146</v>
      </c>
      <c r="B81" s="11"/>
      <c r="D81" s="45">
        <f>IFERROR(VLOOKUP('Manufactured Items Models'!B81,'Cost Master List'!$B$84:$L$98,11,FALSE),0)</f>
        <v>0</v>
      </c>
      <c r="E81" s="54">
        <f>+D81/$A$74</f>
        <v>0</v>
      </c>
      <c r="G81" s="53" t="s">
        <v>146</v>
      </c>
      <c r="H81" s="11"/>
      <c r="J81" s="45">
        <f>IFERROR(VLOOKUP('Manufactured Items Models'!H81,'Cost Master List'!$B$84:$L$98,11,FALSE),0)</f>
        <v>0</v>
      </c>
      <c r="K81" s="54">
        <f t="shared" ref="K81:K82" si="117">+J81/$G$14</f>
        <v>0</v>
      </c>
      <c r="M81" s="53" t="s">
        <v>146</v>
      </c>
      <c r="N81" s="11"/>
      <c r="P81" s="45">
        <f>IFERROR(VLOOKUP('Manufactured Items Models'!N81,'Cost Master List'!$B$84:$L$98,11,FALSE),0)</f>
        <v>0</v>
      </c>
      <c r="Q81" s="54">
        <f t="shared" ref="Q81:Q82" si="118">+P81/$G$14</f>
        <v>0</v>
      </c>
      <c r="S81" s="53" t="s">
        <v>146</v>
      </c>
      <c r="T81" s="11"/>
      <c r="V81" s="45">
        <f>IFERROR(VLOOKUP('Manufactured Items Models'!T81,'Cost Master List'!$B$84:$L$98,11,FALSE),0)</f>
        <v>0</v>
      </c>
      <c r="W81" s="54">
        <f t="shared" ref="W81:W82" si="119">+V81/$G$14</f>
        <v>0</v>
      </c>
      <c r="Y81" s="53" t="s">
        <v>146</v>
      </c>
      <c r="Z81" s="11"/>
      <c r="AB81" s="45">
        <f>IFERROR(VLOOKUP('Manufactured Items Models'!Z81,'Cost Master List'!$B$84:$L$98,11,FALSE),0)</f>
        <v>0</v>
      </c>
      <c r="AC81" s="54">
        <f t="shared" ref="AC81:AC82" si="120">+AB81/$G$14</f>
        <v>0</v>
      </c>
      <c r="AE81" s="53" t="s">
        <v>146</v>
      </c>
      <c r="AF81" s="11"/>
      <c r="AH81" s="45">
        <f>IFERROR(VLOOKUP('Manufactured Items Models'!AF81,'Cost Master List'!$B$84:$L$98,11,FALSE),0)</f>
        <v>0</v>
      </c>
      <c r="AI81" s="54">
        <f t="shared" ref="AI81:AI82" si="121">+AH81/$G$14</f>
        <v>0</v>
      </c>
      <c r="AK81" s="53" t="s">
        <v>146</v>
      </c>
      <c r="AL81" s="11"/>
      <c r="AN81" s="45">
        <f>IFERROR(VLOOKUP('Manufactured Items Models'!AL81,'Cost Master List'!$B$84:$L$98,11,FALSE),0)</f>
        <v>0</v>
      </c>
      <c r="AO81" s="54">
        <f t="shared" ref="AO81:AO82" si="122">+AN81/$G$14</f>
        <v>0</v>
      </c>
      <c r="AQ81" s="53" t="s">
        <v>146</v>
      </c>
      <c r="AR81" s="11"/>
      <c r="AT81" s="45">
        <f>IFERROR(VLOOKUP('Manufactured Items Models'!AR81,'Cost Master List'!$B$84:$L$98,11,FALSE),0)</f>
        <v>0</v>
      </c>
      <c r="AU81" s="54">
        <f t="shared" ref="AU81:AU82" si="123">+AT81/$G$14</f>
        <v>0</v>
      </c>
      <c r="AW81" s="53" t="s">
        <v>146</v>
      </c>
      <c r="AX81" s="11"/>
      <c r="AZ81" s="45">
        <f>IFERROR(VLOOKUP('Manufactured Items Models'!AX81,'Cost Master List'!$B$84:$L$98,11,FALSE),0)</f>
        <v>0</v>
      </c>
      <c r="BA81" s="54">
        <f t="shared" ref="BA81:BA82" si="124">+AZ81/$G$14</f>
        <v>0</v>
      </c>
    </row>
    <row r="82" spans="1:53" x14ac:dyDescent="0.25">
      <c r="A82" s="55" t="s">
        <v>147</v>
      </c>
      <c r="B82" s="12"/>
      <c r="C82" s="9"/>
      <c r="D82" s="45">
        <f>IFERROR(VLOOKUP('Manufactured Items Models'!B82,'Cost Master List'!$B$84:$L$98,11,FALSE),0)</f>
        <v>0</v>
      </c>
      <c r="E82" s="54">
        <f>+D82/$A$74</f>
        <v>0</v>
      </c>
      <c r="G82" s="55" t="s">
        <v>147</v>
      </c>
      <c r="H82" s="12"/>
      <c r="I82" s="9"/>
      <c r="J82" s="45">
        <f>IFERROR(VLOOKUP('Manufactured Items Models'!H82,'Cost Master List'!$B$84:$L$98,11,FALSE),0)</f>
        <v>0</v>
      </c>
      <c r="K82" s="54">
        <f t="shared" si="117"/>
        <v>0</v>
      </c>
      <c r="M82" s="55" t="s">
        <v>147</v>
      </c>
      <c r="N82" s="12"/>
      <c r="O82" s="9"/>
      <c r="P82" s="45">
        <f>IFERROR(VLOOKUP('Manufactured Items Models'!N82,'Cost Master List'!$B$84:$L$98,11,FALSE),0)</f>
        <v>0</v>
      </c>
      <c r="Q82" s="54">
        <f t="shared" si="118"/>
        <v>0</v>
      </c>
      <c r="S82" s="55" t="s">
        <v>147</v>
      </c>
      <c r="T82" s="12"/>
      <c r="U82" s="9"/>
      <c r="V82" s="45">
        <f>IFERROR(VLOOKUP('Manufactured Items Models'!T82,'Cost Master List'!$B$84:$L$98,11,FALSE),0)</f>
        <v>0</v>
      </c>
      <c r="W82" s="54">
        <f t="shared" si="119"/>
        <v>0</v>
      </c>
      <c r="Y82" s="55" t="s">
        <v>147</v>
      </c>
      <c r="Z82" s="12"/>
      <c r="AA82" s="9"/>
      <c r="AB82" s="45">
        <f>IFERROR(VLOOKUP('Manufactured Items Models'!Z82,'Cost Master List'!$B$84:$L$98,11,FALSE),0)</f>
        <v>0</v>
      </c>
      <c r="AC82" s="54">
        <f t="shared" si="120"/>
        <v>0</v>
      </c>
      <c r="AE82" s="55" t="s">
        <v>147</v>
      </c>
      <c r="AF82" s="12"/>
      <c r="AG82" s="9"/>
      <c r="AH82" s="45">
        <f>IFERROR(VLOOKUP('Manufactured Items Models'!AF82,'Cost Master List'!$B$84:$L$98,11,FALSE),0)</f>
        <v>0</v>
      </c>
      <c r="AI82" s="54">
        <f t="shared" si="121"/>
        <v>0</v>
      </c>
      <c r="AK82" s="55" t="s">
        <v>147</v>
      </c>
      <c r="AL82" s="12"/>
      <c r="AM82" s="9"/>
      <c r="AN82" s="45">
        <f>IFERROR(VLOOKUP('Manufactured Items Models'!AL82,'Cost Master List'!$B$84:$L$98,11,FALSE),0)</f>
        <v>0</v>
      </c>
      <c r="AO82" s="54">
        <f t="shared" si="122"/>
        <v>0</v>
      </c>
      <c r="AQ82" s="55" t="s">
        <v>147</v>
      </c>
      <c r="AR82" s="12"/>
      <c r="AS82" s="9"/>
      <c r="AT82" s="45">
        <f>IFERROR(VLOOKUP('Manufactured Items Models'!AR82,'Cost Master List'!$B$84:$L$98,11,FALSE),0)</f>
        <v>0</v>
      </c>
      <c r="AU82" s="54">
        <f t="shared" si="123"/>
        <v>0</v>
      </c>
      <c r="AW82" s="55" t="s">
        <v>147</v>
      </c>
      <c r="AX82" s="12"/>
      <c r="AY82" s="9"/>
      <c r="AZ82" s="45">
        <f>IFERROR(VLOOKUP('Manufactured Items Models'!AX82,'Cost Master List'!$B$84:$L$98,11,FALSE),0)</f>
        <v>0</v>
      </c>
      <c r="BA82" s="54">
        <f t="shared" si="124"/>
        <v>0</v>
      </c>
    </row>
    <row r="83" spans="1:53" x14ac:dyDescent="0.25">
      <c r="A83" s="57" t="s">
        <v>148</v>
      </c>
      <c r="B83" s="47"/>
      <c r="C83" s="47"/>
      <c r="D83" s="47"/>
      <c r="E83" s="58">
        <v>1</v>
      </c>
      <c r="G83" s="57" t="s">
        <v>148</v>
      </c>
      <c r="H83" s="47"/>
      <c r="I83" s="47"/>
      <c r="J83" s="47"/>
      <c r="K83" s="58">
        <v>1</v>
      </c>
      <c r="M83" s="57" t="s">
        <v>148</v>
      </c>
      <c r="N83" s="47"/>
      <c r="O83" s="47"/>
      <c r="P83" s="47"/>
      <c r="Q83" s="58">
        <v>1</v>
      </c>
      <c r="S83" s="57" t="s">
        <v>148</v>
      </c>
      <c r="T83" s="47"/>
      <c r="U83" s="47"/>
      <c r="V83" s="47"/>
      <c r="W83" s="58">
        <v>1</v>
      </c>
      <c r="Y83" s="57" t="s">
        <v>148</v>
      </c>
      <c r="Z83" s="47"/>
      <c r="AA83" s="47"/>
      <c r="AB83" s="47"/>
      <c r="AC83" s="58">
        <v>1</v>
      </c>
      <c r="AE83" s="57" t="s">
        <v>148</v>
      </c>
      <c r="AF83" s="47"/>
      <c r="AG83" s="47"/>
      <c r="AH83" s="47"/>
      <c r="AI83" s="58">
        <v>1</v>
      </c>
      <c r="AK83" s="57" t="s">
        <v>148</v>
      </c>
      <c r="AL83" s="47"/>
      <c r="AM83" s="47"/>
      <c r="AN83" s="47"/>
      <c r="AO83" s="58">
        <v>1</v>
      </c>
      <c r="AQ83" s="57" t="s">
        <v>148</v>
      </c>
      <c r="AR83" s="47"/>
      <c r="AS83" s="47"/>
      <c r="AT83" s="47"/>
      <c r="AU83" s="58">
        <v>1</v>
      </c>
      <c r="AW83" s="57" t="s">
        <v>148</v>
      </c>
      <c r="AX83" s="47"/>
      <c r="AY83" s="47"/>
      <c r="AZ83" s="47"/>
      <c r="BA83" s="58">
        <v>1</v>
      </c>
    </row>
    <row r="84" spans="1:53" ht="15.75" thickBot="1" x14ac:dyDescent="0.3">
      <c r="A84" s="60"/>
      <c r="B84" s="84" t="s">
        <v>331</v>
      </c>
      <c r="C84" s="61"/>
      <c r="D84" s="61" t="s">
        <v>185</v>
      </c>
      <c r="E84" s="62">
        <f>+SUM(E75:E83)</f>
        <v>2.8503723997786468</v>
      </c>
      <c r="G84" s="60"/>
      <c r="H84" s="84"/>
      <c r="I84" s="61"/>
      <c r="J84" s="61" t="s">
        <v>185</v>
      </c>
      <c r="K84" s="62">
        <f>+SUM(K75:K83)</f>
        <v>1</v>
      </c>
      <c r="M84" s="60"/>
      <c r="N84" s="84"/>
      <c r="O84" s="61"/>
      <c r="P84" s="61" t="s">
        <v>185</v>
      </c>
      <c r="Q84" s="62">
        <f>+SUM(Q75:Q83)</f>
        <v>1</v>
      </c>
      <c r="S84" s="60"/>
      <c r="T84" s="84"/>
      <c r="U84" s="61"/>
      <c r="V84" s="61" t="s">
        <v>185</v>
      </c>
      <c r="W84" s="62">
        <f>+SUM(W75:W83)</f>
        <v>1</v>
      </c>
      <c r="Y84" s="60"/>
      <c r="Z84" s="84"/>
      <c r="AA84" s="61"/>
      <c r="AB84" s="61" t="s">
        <v>185</v>
      </c>
      <c r="AC84" s="62">
        <f>+SUM(AC75:AC83)</f>
        <v>1</v>
      </c>
      <c r="AE84" s="60"/>
      <c r="AF84" s="84"/>
      <c r="AG84" s="61"/>
      <c r="AH84" s="61" t="s">
        <v>185</v>
      </c>
      <c r="AI84" s="62">
        <f>+SUM(AI75:AI83)</f>
        <v>1</v>
      </c>
      <c r="AK84" s="57"/>
      <c r="AL84" s="47"/>
      <c r="AM84" s="47"/>
      <c r="AN84" s="47" t="s">
        <v>185</v>
      </c>
      <c r="AO84" s="59">
        <f>+SUM(AO75:AO83)</f>
        <v>1</v>
      </c>
      <c r="AQ84" s="57"/>
      <c r="AR84" s="47"/>
      <c r="AS84" s="47"/>
      <c r="AT84" s="47" t="s">
        <v>185</v>
      </c>
      <c r="AU84" s="59">
        <f>+SUM(AU75:AU83)</f>
        <v>1</v>
      </c>
      <c r="AW84" s="57"/>
      <c r="AX84" s="47"/>
      <c r="AY84" s="47"/>
      <c r="AZ84" s="47" t="s">
        <v>185</v>
      </c>
      <c r="BA84" s="59">
        <f>+SUM(BA75:BA83)</f>
        <v>1</v>
      </c>
    </row>
    <row r="85" spans="1:53" x14ac:dyDescent="0.25">
      <c r="A85" s="64"/>
      <c r="B85" s="63"/>
      <c r="C85" s="63"/>
      <c r="D85" s="63"/>
      <c r="E85" s="65"/>
      <c r="G85" s="64"/>
      <c r="H85" s="63"/>
      <c r="I85" s="63"/>
      <c r="J85" s="63"/>
      <c r="K85" s="65"/>
      <c r="M85" s="64"/>
      <c r="N85" s="63"/>
      <c r="O85" s="63"/>
      <c r="P85" s="63"/>
      <c r="Q85" s="65"/>
      <c r="S85" s="64"/>
      <c r="T85" s="63"/>
      <c r="U85" s="63"/>
      <c r="V85" s="63"/>
      <c r="W85" s="65"/>
      <c r="Y85" s="64"/>
      <c r="Z85" s="63"/>
      <c r="AA85" s="63"/>
      <c r="AB85" s="63"/>
      <c r="AC85" s="65"/>
      <c r="AE85" s="64"/>
      <c r="AF85" s="63"/>
      <c r="AG85" s="63"/>
      <c r="AH85" s="63"/>
      <c r="AI85" s="65"/>
      <c r="AK85" s="64"/>
      <c r="AL85" s="63"/>
      <c r="AM85" s="63"/>
      <c r="AN85" s="63"/>
      <c r="AO85" s="65"/>
      <c r="AQ85" s="64"/>
      <c r="AR85" s="63"/>
      <c r="AS85" s="63"/>
      <c r="AT85" s="63"/>
      <c r="AU85" s="65"/>
      <c r="AW85" s="64"/>
      <c r="AX85" s="63"/>
      <c r="AY85" s="63"/>
      <c r="AZ85" s="63"/>
      <c r="BA85" s="65"/>
    </row>
    <row r="86" spans="1:53" x14ac:dyDescent="0.25">
      <c r="A86" s="48">
        <v>8</v>
      </c>
      <c r="B86" s="82" t="s">
        <v>195</v>
      </c>
      <c r="C86" s="6" t="s">
        <v>138</v>
      </c>
      <c r="D86" s="6" t="s">
        <v>23</v>
      </c>
      <c r="E86" s="50" t="s">
        <v>139</v>
      </c>
      <c r="G86" s="48"/>
      <c r="H86" s="82"/>
      <c r="I86" s="6" t="s">
        <v>138</v>
      </c>
      <c r="J86" s="6" t="s">
        <v>23</v>
      </c>
      <c r="K86" s="50" t="s">
        <v>139</v>
      </c>
      <c r="M86" s="48"/>
      <c r="N86" s="82"/>
      <c r="O86" s="6" t="s">
        <v>138</v>
      </c>
      <c r="P86" s="6" t="s">
        <v>23</v>
      </c>
      <c r="Q86" s="50" t="s">
        <v>139</v>
      </c>
      <c r="S86" s="48"/>
      <c r="T86" s="82"/>
      <c r="U86" s="6" t="s">
        <v>138</v>
      </c>
      <c r="V86" s="6" t="s">
        <v>23</v>
      </c>
      <c r="W86" s="50" t="s">
        <v>139</v>
      </c>
      <c r="Y86" s="48"/>
      <c r="Z86" s="82"/>
      <c r="AA86" s="6" t="s">
        <v>138</v>
      </c>
      <c r="AB86" s="6" t="s">
        <v>23</v>
      </c>
      <c r="AC86" s="50" t="s">
        <v>139</v>
      </c>
      <c r="AE86" s="48"/>
      <c r="AF86" s="82"/>
      <c r="AG86" s="6" t="s">
        <v>138</v>
      </c>
      <c r="AH86" s="6" t="s">
        <v>23</v>
      </c>
      <c r="AI86" s="50" t="s">
        <v>139</v>
      </c>
      <c r="AK86" s="48"/>
      <c r="AL86" s="82"/>
      <c r="AM86" s="6" t="s">
        <v>138</v>
      </c>
      <c r="AN86" s="6" t="s">
        <v>23</v>
      </c>
      <c r="AO86" s="50" t="s">
        <v>139</v>
      </c>
      <c r="AQ86" s="48"/>
      <c r="AR86" s="82"/>
      <c r="AS86" s="6" t="s">
        <v>138</v>
      </c>
      <c r="AT86" s="6" t="s">
        <v>23</v>
      </c>
      <c r="AU86" s="50" t="s">
        <v>139</v>
      </c>
      <c r="AW86" s="48"/>
      <c r="AX86" s="82"/>
      <c r="AY86" s="6" t="s">
        <v>138</v>
      </c>
      <c r="AZ86" s="6" t="s">
        <v>23</v>
      </c>
      <c r="BA86" s="50" t="s">
        <v>139</v>
      </c>
    </row>
    <row r="87" spans="1:53" x14ac:dyDescent="0.25">
      <c r="A87" s="51" t="s">
        <v>140</v>
      </c>
      <c r="B87" s="10" t="s">
        <v>303</v>
      </c>
      <c r="C87" s="67">
        <v>0.4</v>
      </c>
      <c r="D87" s="44">
        <f>IFERROR(VLOOKUP(B87,'Cost Master List'!$B$2:$P$74,12,),0)</f>
        <v>6.1053605610037103</v>
      </c>
      <c r="E87" s="52">
        <f>+D87*C87</f>
        <v>2.4421442244014844</v>
      </c>
      <c r="G87" s="51" t="s">
        <v>140</v>
      </c>
      <c r="H87" s="10"/>
      <c r="I87" s="67"/>
      <c r="J87" s="44">
        <f>IFERROR(VLOOKUP(H87,'Cost Master List'!$B$2:$P$74,12,),0)</f>
        <v>0</v>
      </c>
      <c r="K87" s="52">
        <f>+J87*I87</f>
        <v>0</v>
      </c>
      <c r="M87" s="51" t="s">
        <v>140</v>
      </c>
      <c r="N87" s="10"/>
      <c r="O87" s="67"/>
      <c r="P87" s="44">
        <f>IFERROR(VLOOKUP(N87,'Cost Master List'!$B$2:$P$74,12,),0)</f>
        <v>0</v>
      </c>
      <c r="Q87" s="52">
        <f>+P87*O87</f>
        <v>0</v>
      </c>
      <c r="S87" s="51" t="s">
        <v>140</v>
      </c>
      <c r="T87" s="10"/>
      <c r="U87" s="67"/>
      <c r="V87" s="44">
        <f>IFERROR(VLOOKUP(T87,'Cost Master List'!$B$2:$P$74,12,),0)</f>
        <v>0</v>
      </c>
      <c r="W87" s="52">
        <f>+V87*U87</f>
        <v>0</v>
      </c>
      <c r="Y87" s="51" t="s">
        <v>140</v>
      </c>
      <c r="Z87" s="10"/>
      <c r="AA87" s="67"/>
      <c r="AB87" s="44">
        <f>IFERROR(VLOOKUP(Z87,'Cost Master List'!$B$2:$P$74,12,),0)</f>
        <v>0</v>
      </c>
      <c r="AC87" s="52">
        <f>+AB87*AA87</f>
        <v>0</v>
      </c>
      <c r="AE87" s="51" t="s">
        <v>140</v>
      </c>
      <c r="AF87" s="10"/>
      <c r="AG87" s="67"/>
      <c r="AH87" s="44">
        <f>IFERROR(VLOOKUP(AF87,'Cost Master List'!$B$2:$P$74,12,),0)</f>
        <v>0</v>
      </c>
      <c r="AI87" s="52">
        <f>+AH87*AG87</f>
        <v>0</v>
      </c>
      <c r="AK87" s="51" t="s">
        <v>140</v>
      </c>
      <c r="AL87" s="10"/>
      <c r="AM87" s="67"/>
      <c r="AN87" s="44">
        <f>IFERROR(VLOOKUP(AL87,'Cost Master List'!$B$2:$P$74,12,),0)</f>
        <v>0</v>
      </c>
      <c r="AO87" s="52">
        <f>+AN87*AM87</f>
        <v>0</v>
      </c>
      <c r="AQ87" s="51" t="s">
        <v>140</v>
      </c>
      <c r="AR87" s="10"/>
      <c r="AS87" s="67"/>
      <c r="AT87" s="44">
        <f>IFERROR(VLOOKUP(AR87,'Cost Master List'!$B$2:$P$74,12,),0)</f>
        <v>0</v>
      </c>
      <c r="AU87" s="52">
        <f>+AT87*AS87</f>
        <v>0</v>
      </c>
      <c r="AW87" s="51" t="s">
        <v>140</v>
      </c>
      <c r="AX87" s="10"/>
      <c r="AY87" s="67"/>
      <c r="AZ87" s="44">
        <f>IFERROR(VLOOKUP(AX87,'Cost Master List'!$B$2:$P$74,12,),0)</f>
        <v>0</v>
      </c>
      <c r="BA87" s="52">
        <f>+AZ87*AY87</f>
        <v>0</v>
      </c>
    </row>
    <row r="88" spans="1:53" x14ac:dyDescent="0.25">
      <c r="A88" s="53" t="s">
        <v>141</v>
      </c>
      <c r="B88" s="11" t="s">
        <v>198</v>
      </c>
      <c r="C88" s="68">
        <v>0.6</v>
      </c>
      <c r="D88" s="45">
        <f>IFERROR(VLOOKUP(B88,'Cost Master List'!$B$2:$P$74,12,),0)</f>
        <v>0.22679645471781987</v>
      </c>
      <c r="E88" s="54">
        <f t="shared" ref="E88:E91" si="125">+D88*C88</f>
        <v>0.13607787283069192</v>
      </c>
      <c r="G88" s="53" t="s">
        <v>141</v>
      </c>
      <c r="H88" s="11"/>
      <c r="I88" s="68"/>
      <c r="J88" s="45">
        <f>IFERROR(VLOOKUP(H88,'Cost Master List'!$B$2:$P$74,12,),0)</f>
        <v>0</v>
      </c>
      <c r="K88" s="54">
        <f t="shared" ref="K88:K91" si="126">+J88*I88</f>
        <v>0</v>
      </c>
      <c r="M88" s="53" t="s">
        <v>141</v>
      </c>
      <c r="N88" s="11"/>
      <c r="O88" s="68"/>
      <c r="P88" s="45">
        <f>IFERROR(VLOOKUP(N88,'Cost Master List'!$B$2:$P$74,12,),0)</f>
        <v>0</v>
      </c>
      <c r="Q88" s="54">
        <f t="shared" ref="Q88:Q91" si="127">+P88*O88</f>
        <v>0</v>
      </c>
      <c r="S88" s="53" t="s">
        <v>141</v>
      </c>
      <c r="T88" s="11"/>
      <c r="U88" s="68"/>
      <c r="V88" s="45">
        <f>IFERROR(VLOOKUP(T88,'Cost Master List'!$B$2:$P$74,12,),0)</f>
        <v>0</v>
      </c>
      <c r="W88" s="54">
        <f t="shared" ref="W88:W91" si="128">+V88*U88</f>
        <v>0</v>
      </c>
      <c r="Y88" s="53" t="s">
        <v>141</v>
      </c>
      <c r="Z88" s="11"/>
      <c r="AA88" s="68"/>
      <c r="AB88" s="45">
        <f>IFERROR(VLOOKUP(Z88,'Cost Master List'!$B$2:$P$74,12,),0)</f>
        <v>0</v>
      </c>
      <c r="AC88" s="54">
        <f t="shared" ref="AC88:AC91" si="129">+AB88*AA88</f>
        <v>0</v>
      </c>
      <c r="AE88" s="53" t="s">
        <v>141</v>
      </c>
      <c r="AF88" s="11"/>
      <c r="AG88" s="68"/>
      <c r="AH88" s="45">
        <f>IFERROR(VLOOKUP(AF88,'Cost Master List'!$B$2:$P$74,12,),0)</f>
        <v>0</v>
      </c>
      <c r="AI88" s="54">
        <f t="shared" ref="AI88:AI91" si="130">+AH88*AG88</f>
        <v>0</v>
      </c>
      <c r="AK88" s="53" t="s">
        <v>141</v>
      </c>
      <c r="AL88" s="11"/>
      <c r="AM88" s="68"/>
      <c r="AN88" s="45">
        <f>IFERROR(VLOOKUP(AL88,'Cost Master List'!$B$2:$P$74,12,),0)</f>
        <v>0</v>
      </c>
      <c r="AO88" s="54">
        <f t="shared" ref="AO88:AO91" si="131">+AN88*AM88</f>
        <v>0</v>
      </c>
      <c r="AQ88" s="53" t="s">
        <v>141</v>
      </c>
      <c r="AR88" s="11"/>
      <c r="AS88" s="68"/>
      <c r="AT88" s="45">
        <f>IFERROR(VLOOKUP(AR88,'Cost Master List'!$B$2:$P$74,12,),0)</f>
        <v>0</v>
      </c>
      <c r="AU88" s="54">
        <f t="shared" ref="AU88:AU91" si="132">+AT88*AS88</f>
        <v>0</v>
      </c>
      <c r="AW88" s="53" t="s">
        <v>141</v>
      </c>
      <c r="AX88" s="11"/>
      <c r="AY88" s="68"/>
      <c r="AZ88" s="45">
        <f>IFERROR(VLOOKUP(AX88,'Cost Master List'!$B$2:$P$74,12,),0)</f>
        <v>0</v>
      </c>
      <c r="BA88" s="54">
        <f t="shared" ref="BA88:BA91" si="133">+AZ88*AY88</f>
        <v>0</v>
      </c>
    </row>
    <row r="89" spans="1:53" x14ac:dyDescent="0.25">
      <c r="A89" s="53" t="s">
        <v>142</v>
      </c>
      <c r="B89" s="11"/>
      <c r="C89" s="68"/>
      <c r="D89" s="45">
        <f>IFERROR(VLOOKUP(B89,'Cost Master List'!$B$2:$P$74,12,),0)</f>
        <v>0</v>
      </c>
      <c r="E89" s="54">
        <f t="shared" si="125"/>
        <v>0</v>
      </c>
      <c r="G89" s="53" t="s">
        <v>142</v>
      </c>
      <c r="H89" s="11"/>
      <c r="I89" s="68"/>
      <c r="J89" s="45">
        <f>IFERROR(VLOOKUP(H89,'Cost Master List'!$B$2:$P$74,12,),0)</f>
        <v>0</v>
      </c>
      <c r="K89" s="54">
        <f t="shared" si="126"/>
        <v>0</v>
      </c>
      <c r="M89" s="53" t="s">
        <v>142</v>
      </c>
      <c r="N89" s="11"/>
      <c r="O89" s="68"/>
      <c r="P89" s="45">
        <f>IFERROR(VLOOKUP(N89,'Cost Master List'!$B$2:$P$74,12,),0)</f>
        <v>0</v>
      </c>
      <c r="Q89" s="54">
        <f t="shared" si="127"/>
        <v>0</v>
      </c>
      <c r="S89" s="53" t="s">
        <v>142</v>
      </c>
      <c r="T89" s="11"/>
      <c r="U89" s="68"/>
      <c r="V89" s="45">
        <f>IFERROR(VLOOKUP(T89,'Cost Master List'!$B$2:$P$74,12,),0)</f>
        <v>0</v>
      </c>
      <c r="W89" s="54">
        <f t="shared" si="128"/>
        <v>0</v>
      </c>
      <c r="Y89" s="53" t="s">
        <v>142</v>
      </c>
      <c r="Z89" s="11"/>
      <c r="AA89" s="68"/>
      <c r="AB89" s="45">
        <f>IFERROR(VLOOKUP(Z89,'Cost Master List'!$B$2:$P$74,12,),0)</f>
        <v>0</v>
      </c>
      <c r="AC89" s="54">
        <f t="shared" si="129"/>
        <v>0</v>
      </c>
      <c r="AE89" s="53" t="s">
        <v>142</v>
      </c>
      <c r="AF89" s="11"/>
      <c r="AG89" s="68"/>
      <c r="AH89" s="45">
        <f>IFERROR(VLOOKUP(AF89,'Cost Master List'!$B$2:$P$74,12,),0)</f>
        <v>0</v>
      </c>
      <c r="AI89" s="54">
        <f t="shared" si="130"/>
        <v>0</v>
      </c>
      <c r="AK89" s="53" t="s">
        <v>142</v>
      </c>
      <c r="AL89" s="11"/>
      <c r="AM89" s="68"/>
      <c r="AN89" s="45">
        <f>IFERROR(VLOOKUP(AL89,'Cost Master List'!$B$2:$P$74,12,),0)</f>
        <v>0</v>
      </c>
      <c r="AO89" s="54">
        <f t="shared" si="131"/>
        <v>0</v>
      </c>
      <c r="AQ89" s="53" t="s">
        <v>142</v>
      </c>
      <c r="AR89" s="11"/>
      <c r="AS89" s="68"/>
      <c r="AT89" s="45">
        <f>IFERROR(VLOOKUP(AR89,'Cost Master List'!$B$2:$P$74,12,),0)</f>
        <v>0</v>
      </c>
      <c r="AU89" s="54">
        <f t="shared" si="132"/>
        <v>0</v>
      </c>
      <c r="AW89" s="53" t="s">
        <v>142</v>
      </c>
      <c r="AX89" s="11"/>
      <c r="AY89" s="68"/>
      <c r="AZ89" s="45">
        <f>IFERROR(VLOOKUP(AX89,'Cost Master List'!$B$2:$P$74,12,),0)</f>
        <v>0</v>
      </c>
      <c r="BA89" s="54">
        <f t="shared" si="133"/>
        <v>0</v>
      </c>
    </row>
    <row r="90" spans="1:53" x14ac:dyDescent="0.25">
      <c r="A90" s="53" t="s">
        <v>143</v>
      </c>
      <c r="B90" s="11"/>
      <c r="C90" s="68"/>
      <c r="D90" s="45">
        <f>IFERROR(VLOOKUP(B90,'Cost Master List'!$B$2:$P$74,12,),0)</f>
        <v>0</v>
      </c>
      <c r="E90" s="54">
        <f t="shared" si="125"/>
        <v>0</v>
      </c>
      <c r="G90" s="53" t="s">
        <v>143</v>
      </c>
      <c r="H90" s="11"/>
      <c r="I90" s="68"/>
      <c r="J90" s="45">
        <f>IFERROR(VLOOKUP(H90,'Cost Master List'!$B$2:$P$74,12,),0)</f>
        <v>0</v>
      </c>
      <c r="K90" s="54">
        <f t="shared" si="126"/>
        <v>0</v>
      </c>
      <c r="M90" s="53" t="s">
        <v>143</v>
      </c>
      <c r="N90" s="11"/>
      <c r="O90" s="68"/>
      <c r="P90" s="45">
        <f>IFERROR(VLOOKUP(N90,'Cost Master List'!$B$2:$P$74,12,),0)</f>
        <v>0</v>
      </c>
      <c r="Q90" s="54">
        <f t="shared" si="127"/>
        <v>0</v>
      </c>
      <c r="S90" s="53" t="s">
        <v>143</v>
      </c>
      <c r="T90" s="11"/>
      <c r="U90" s="68"/>
      <c r="V90" s="45">
        <f>IFERROR(VLOOKUP(T90,'Cost Master List'!$B$2:$P$74,12,),0)</f>
        <v>0</v>
      </c>
      <c r="W90" s="54">
        <f t="shared" si="128"/>
        <v>0</v>
      </c>
      <c r="Y90" s="53" t="s">
        <v>143</v>
      </c>
      <c r="Z90" s="11"/>
      <c r="AA90" s="68"/>
      <c r="AB90" s="45">
        <f>IFERROR(VLOOKUP(Z90,'Cost Master List'!$B$2:$P$74,12,),0)</f>
        <v>0</v>
      </c>
      <c r="AC90" s="54">
        <f t="shared" si="129"/>
        <v>0</v>
      </c>
      <c r="AE90" s="53" t="s">
        <v>143</v>
      </c>
      <c r="AF90" s="11"/>
      <c r="AG90" s="68"/>
      <c r="AH90" s="45">
        <f>IFERROR(VLOOKUP(AF90,'Cost Master List'!$B$2:$P$74,12,),0)</f>
        <v>0</v>
      </c>
      <c r="AI90" s="54">
        <f t="shared" si="130"/>
        <v>0</v>
      </c>
      <c r="AK90" s="53" t="s">
        <v>143</v>
      </c>
      <c r="AL90" s="11"/>
      <c r="AM90" s="68"/>
      <c r="AN90" s="45">
        <f>IFERROR(VLOOKUP(AL90,'Cost Master List'!$B$2:$P$74,12,),0)</f>
        <v>0</v>
      </c>
      <c r="AO90" s="54">
        <f t="shared" si="131"/>
        <v>0</v>
      </c>
      <c r="AQ90" s="53" t="s">
        <v>143</v>
      </c>
      <c r="AR90" s="11"/>
      <c r="AS90" s="68"/>
      <c r="AT90" s="45">
        <f>IFERROR(VLOOKUP(AR90,'Cost Master List'!$B$2:$P$74,12,),0)</f>
        <v>0</v>
      </c>
      <c r="AU90" s="54">
        <f t="shared" si="132"/>
        <v>0</v>
      </c>
      <c r="AW90" s="53" t="s">
        <v>143</v>
      </c>
      <c r="AX90" s="11"/>
      <c r="AY90" s="68"/>
      <c r="AZ90" s="45">
        <f>IFERROR(VLOOKUP(AX90,'Cost Master List'!$B$2:$P$74,12,),0)</f>
        <v>0</v>
      </c>
      <c r="BA90" s="54">
        <f t="shared" si="133"/>
        <v>0</v>
      </c>
    </row>
    <row r="91" spans="1:53" x14ac:dyDescent="0.25">
      <c r="A91" s="55" t="s">
        <v>144</v>
      </c>
      <c r="B91" s="11"/>
      <c r="C91" s="69"/>
      <c r="D91" s="46">
        <f>IFERROR(VLOOKUP(B91,'Cost Master List'!$B$2:$P$74,12,),0)</f>
        <v>0</v>
      </c>
      <c r="E91" s="56">
        <f t="shared" si="125"/>
        <v>0</v>
      </c>
      <c r="G91" s="55" t="s">
        <v>144</v>
      </c>
      <c r="H91" s="11"/>
      <c r="I91" s="69"/>
      <c r="J91" s="46">
        <f>IFERROR(VLOOKUP(H91,'Cost Master List'!$B$2:$P$74,12,),0)</f>
        <v>0</v>
      </c>
      <c r="K91" s="56">
        <f t="shared" si="126"/>
        <v>0</v>
      </c>
      <c r="M91" s="55" t="s">
        <v>144</v>
      </c>
      <c r="N91" s="11"/>
      <c r="O91" s="69"/>
      <c r="P91" s="46">
        <f>IFERROR(VLOOKUP(N91,'Cost Master List'!$B$2:$P$74,12,),0)</f>
        <v>0</v>
      </c>
      <c r="Q91" s="56">
        <f t="shared" si="127"/>
        <v>0</v>
      </c>
      <c r="S91" s="55" t="s">
        <v>144</v>
      </c>
      <c r="T91" s="11"/>
      <c r="U91" s="69"/>
      <c r="V91" s="46">
        <f>IFERROR(VLOOKUP(T91,'Cost Master List'!$B$2:$P$74,12,),0)</f>
        <v>0</v>
      </c>
      <c r="W91" s="56">
        <f t="shared" si="128"/>
        <v>0</v>
      </c>
      <c r="Y91" s="55" t="s">
        <v>144</v>
      </c>
      <c r="Z91" s="11"/>
      <c r="AA91" s="69"/>
      <c r="AB91" s="46">
        <f>IFERROR(VLOOKUP(Z91,'Cost Master List'!$B$2:$P$74,12,),0)</f>
        <v>0</v>
      </c>
      <c r="AC91" s="56">
        <f t="shared" si="129"/>
        <v>0</v>
      </c>
      <c r="AE91" s="55" t="s">
        <v>144</v>
      </c>
      <c r="AF91" s="11"/>
      <c r="AG91" s="69"/>
      <c r="AH91" s="46">
        <f>IFERROR(VLOOKUP(AF91,'Cost Master List'!$B$2:$P$74,12,),0)</f>
        <v>0</v>
      </c>
      <c r="AI91" s="56">
        <f t="shared" si="130"/>
        <v>0</v>
      </c>
      <c r="AK91" s="55" t="s">
        <v>144</v>
      </c>
      <c r="AL91" s="11"/>
      <c r="AM91" s="69"/>
      <c r="AN91" s="46">
        <f>IFERROR(VLOOKUP(AL91,'Cost Master List'!$B$2:$P$74,12,),0)</f>
        <v>0</v>
      </c>
      <c r="AO91" s="56">
        <f t="shared" si="131"/>
        <v>0</v>
      </c>
      <c r="AQ91" s="55" t="s">
        <v>144</v>
      </c>
      <c r="AR91" s="11"/>
      <c r="AS91" s="69"/>
      <c r="AT91" s="46">
        <f>IFERROR(VLOOKUP(AR91,'Cost Master List'!$B$2:$P$74,12,),0)</f>
        <v>0</v>
      </c>
      <c r="AU91" s="56">
        <f t="shared" si="132"/>
        <v>0</v>
      </c>
      <c r="AW91" s="55" t="s">
        <v>144</v>
      </c>
      <c r="AX91" s="11"/>
      <c r="AY91" s="69"/>
      <c r="AZ91" s="46">
        <f>IFERROR(VLOOKUP(AX91,'Cost Master List'!$B$2:$P$74,12,),0)</f>
        <v>0</v>
      </c>
      <c r="BA91" s="56">
        <f t="shared" si="133"/>
        <v>0</v>
      </c>
    </row>
    <row r="92" spans="1:53" x14ac:dyDescent="0.25">
      <c r="A92" s="51" t="s">
        <v>145</v>
      </c>
      <c r="B92" s="10" t="s">
        <v>186</v>
      </c>
      <c r="C92" s="8"/>
      <c r="D92" s="45">
        <f>IFERROR(VLOOKUP('Manufactured Items Models'!B92,'Cost Master List'!$B$84:$L$98,11,FALSE),0)</f>
        <v>1.6</v>
      </c>
      <c r="E92" s="54">
        <f>+D92/$A$86</f>
        <v>0.2</v>
      </c>
      <c r="G92" s="51" t="s">
        <v>145</v>
      </c>
      <c r="H92" s="10"/>
      <c r="I92" s="8"/>
      <c r="J92" s="45">
        <f>IFERROR(VLOOKUP('Manufactured Items Models'!H92,'Cost Master List'!$B$84:$L$98,11,FALSE),0)</f>
        <v>0</v>
      </c>
      <c r="K92" s="54">
        <f>+J92/$G$14</f>
        <v>0</v>
      </c>
      <c r="M92" s="51" t="s">
        <v>145</v>
      </c>
      <c r="N92" s="10"/>
      <c r="O92" s="8"/>
      <c r="P92" s="45">
        <f>IFERROR(VLOOKUP('Manufactured Items Models'!N92,'Cost Master List'!$B$84:$L$98,11,FALSE),0)</f>
        <v>0</v>
      </c>
      <c r="Q92" s="54">
        <f>+P92/$G$14</f>
        <v>0</v>
      </c>
      <c r="S92" s="51" t="s">
        <v>145</v>
      </c>
      <c r="T92" s="10"/>
      <c r="U92" s="8"/>
      <c r="V92" s="45">
        <f>IFERROR(VLOOKUP('Manufactured Items Models'!T92,'Cost Master List'!$B$84:$L$98,11,FALSE),0)</f>
        <v>0</v>
      </c>
      <c r="W92" s="54">
        <f>+V92/$G$14</f>
        <v>0</v>
      </c>
      <c r="Y92" s="51" t="s">
        <v>145</v>
      </c>
      <c r="Z92" s="10"/>
      <c r="AA92" s="8"/>
      <c r="AB92" s="45">
        <f>IFERROR(VLOOKUP('Manufactured Items Models'!Z92,'Cost Master List'!$B$84:$L$98,11,FALSE),0)</f>
        <v>0</v>
      </c>
      <c r="AC92" s="54">
        <f>+AB92/$G$14</f>
        <v>0</v>
      </c>
      <c r="AE92" s="51" t="s">
        <v>145</v>
      </c>
      <c r="AF92" s="10"/>
      <c r="AG92" s="8"/>
      <c r="AH92" s="45">
        <f>IFERROR(VLOOKUP('Manufactured Items Models'!AF92,'Cost Master List'!$B$84:$L$98,11,FALSE),0)</f>
        <v>0</v>
      </c>
      <c r="AI92" s="54">
        <f>+AH92/$G$14</f>
        <v>0</v>
      </c>
      <c r="AK92" s="51" t="s">
        <v>145</v>
      </c>
      <c r="AL92" s="10"/>
      <c r="AM92" s="8"/>
      <c r="AN92" s="45">
        <f>IFERROR(VLOOKUP('Manufactured Items Models'!AL92,'Cost Master List'!$B$84:$L$98,11,FALSE),0)</f>
        <v>0</v>
      </c>
      <c r="AO92" s="54">
        <f>+AN92/$G$14</f>
        <v>0</v>
      </c>
      <c r="AQ92" s="51" t="s">
        <v>145</v>
      </c>
      <c r="AR92" s="10"/>
      <c r="AS92" s="8"/>
      <c r="AT92" s="45">
        <f>IFERROR(VLOOKUP('Manufactured Items Models'!AR92,'Cost Master List'!$B$84:$L$98,11,FALSE),0)</f>
        <v>0</v>
      </c>
      <c r="AU92" s="54">
        <f>+AT92/$G$14</f>
        <v>0</v>
      </c>
      <c r="AW92" s="51" t="s">
        <v>145</v>
      </c>
      <c r="AX92" s="10"/>
      <c r="AY92" s="8"/>
      <c r="AZ92" s="45">
        <f>IFERROR(VLOOKUP('Manufactured Items Models'!AX92,'Cost Master List'!$B$84:$L$98,11,FALSE),0)</f>
        <v>0</v>
      </c>
      <c r="BA92" s="54">
        <f>+AZ92/$G$14</f>
        <v>0</v>
      </c>
    </row>
    <row r="93" spans="1:53" x14ac:dyDescent="0.25">
      <c r="A93" s="53" t="s">
        <v>146</v>
      </c>
      <c r="B93" s="11"/>
      <c r="D93" s="45">
        <f>IFERROR(VLOOKUP('Manufactured Items Models'!B93,'Cost Master List'!$B$84:$L$98,11,FALSE),0)</f>
        <v>0</v>
      </c>
      <c r="E93" s="54">
        <f>+D93/$A$86</f>
        <v>0</v>
      </c>
      <c r="G93" s="53" t="s">
        <v>146</v>
      </c>
      <c r="H93" s="11"/>
      <c r="J93" s="45">
        <f>IFERROR(VLOOKUP('Manufactured Items Models'!H93,'Cost Master List'!$B$84:$L$98,11,FALSE),0)</f>
        <v>0</v>
      </c>
      <c r="K93" s="54">
        <f t="shared" ref="K93:K94" si="134">+J93/$G$14</f>
        <v>0</v>
      </c>
      <c r="M93" s="53" t="s">
        <v>146</v>
      </c>
      <c r="N93" s="11"/>
      <c r="P93" s="45">
        <f>IFERROR(VLOOKUP('Manufactured Items Models'!N93,'Cost Master List'!$B$84:$L$98,11,FALSE),0)</f>
        <v>0</v>
      </c>
      <c r="Q93" s="54">
        <f t="shared" ref="Q93:Q94" si="135">+P93/$G$14</f>
        <v>0</v>
      </c>
      <c r="S93" s="53" t="s">
        <v>146</v>
      </c>
      <c r="T93" s="11"/>
      <c r="V93" s="45">
        <f>IFERROR(VLOOKUP('Manufactured Items Models'!T93,'Cost Master List'!$B$84:$L$98,11,FALSE),0)</f>
        <v>0</v>
      </c>
      <c r="W93" s="54">
        <f t="shared" ref="W93:W94" si="136">+V93/$G$14</f>
        <v>0</v>
      </c>
      <c r="Y93" s="53" t="s">
        <v>146</v>
      </c>
      <c r="Z93" s="11"/>
      <c r="AB93" s="45">
        <f>IFERROR(VLOOKUP('Manufactured Items Models'!Z93,'Cost Master List'!$B$84:$L$98,11,FALSE),0)</f>
        <v>0</v>
      </c>
      <c r="AC93" s="54">
        <f t="shared" ref="AC93:AC94" si="137">+AB93/$G$14</f>
        <v>0</v>
      </c>
      <c r="AE93" s="53" t="s">
        <v>146</v>
      </c>
      <c r="AF93" s="11"/>
      <c r="AH93" s="45">
        <f>IFERROR(VLOOKUP('Manufactured Items Models'!AF93,'Cost Master List'!$B$84:$L$98,11,FALSE),0)</f>
        <v>0</v>
      </c>
      <c r="AI93" s="54">
        <f t="shared" ref="AI93:AI94" si="138">+AH93/$G$14</f>
        <v>0</v>
      </c>
      <c r="AK93" s="53" t="s">
        <v>146</v>
      </c>
      <c r="AL93" s="11"/>
      <c r="AN93" s="45">
        <f>IFERROR(VLOOKUP('Manufactured Items Models'!AL93,'Cost Master List'!$B$84:$L$98,11,FALSE),0)</f>
        <v>0</v>
      </c>
      <c r="AO93" s="54">
        <f t="shared" ref="AO93:AO94" si="139">+AN93/$G$14</f>
        <v>0</v>
      </c>
      <c r="AQ93" s="53" t="s">
        <v>146</v>
      </c>
      <c r="AR93" s="11"/>
      <c r="AT93" s="45">
        <f>IFERROR(VLOOKUP('Manufactured Items Models'!AR93,'Cost Master List'!$B$84:$L$98,11,FALSE),0)</f>
        <v>0</v>
      </c>
      <c r="AU93" s="54">
        <f t="shared" ref="AU93:AU94" si="140">+AT93/$G$14</f>
        <v>0</v>
      </c>
      <c r="AW93" s="53" t="s">
        <v>146</v>
      </c>
      <c r="AX93" s="11"/>
      <c r="AZ93" s="45">
        <f>IFERROR(VLOOKUP('Manufactured Items Models'!AX93,'Cost Master List'!$B$84:$L$98,11,FALSE),0)</f>
        <v>0</v>
      </c>
      <c r="BA93" s="54">
        <f t="shared" ref="BA93:BA94" si="141">+AZ93/$G$14</f>
        <v>0</v>
      </c>
    </row>
    <row r="94" spans="1:53" x14ac:dyDescent="0.25">
      <c r="A94" s="55" t="s">
        <v>147</v>
      </c>
      <c r="B94" s="12"/>
      <c r="C94" s="9"/>
      <c r="D94" s="45">
        <f>IFERROR(VLOOKUP('Manufactured Items Models'!B94,'Cost Master List'!$B$84:$L$98,11,FALSE),0)</f>
        <v>0</v>
      </c>
      <c r="E94" s="54">
        <f>+D94/$A$86</f>
        <v>0</v>
      </c>
      <c r="G94" s="55" t="s">
        <v>147</v>
      </c>
      <c r="H94" s="12"/>
      <c r="I94" s="9"/>
      <c r="J94" s="45">
        <f>IFERROR(VLOOKUP('Manufactured Items Models'!H94,'Cost Master List'!$B$84:$L$98,11,FALSE),0)</f>
        <v>0</v>
      </c>
      <c r="K94" s="54">
        <f t="shared" si="134"/>
        <v>0</v>
      </c>
      <c r="M94" s="55" t="s">
        <v>147</v>
      </c>
      <c r="N94" s="12"/>
      <c r="O94" s="9"/>
      <c r="P94" s="45">
        <f>IFERROR(VLOOKUP('Manufactured Items Models'!N94,'Cost Master List'!$B$84:$L$98,11,FALSE),0)</f>
        <v>0</v>
      </c>
      <c r="Q94" s="54">
        <f t="shared" si="135"/>
        <v>0</v>
      </c>
      <c r="S94" s="55" t="s">
        <v>147</v>
      </c>
      <c r="T94" s="12"/>
      <c r="U94" s="9"/>
      <c r="V94" s="45">
        <f>IFERROR(VLOOKUP('Manufactured Items Models'!T94,'Cost Master List'!$B$84:$L$98,11,FALSE),0)</f>
        <v>0</v>
      </c>
      <c r="W94" s="54">
        <f t="shared" si="136"/>
        <v>0</v>
      </c>
      <c r="Y94" s="55" t="s">
        <v>147</v>
      </c>
      <c r="Z94" s="12"/>
      <c r="AA94" s="9"/>
      <c r="AB94" s="45">
        <f>IFERROR(VLOOKUP('Manufactured Items Models'!Z94,'Cost Master List'!$B$84:$L$98,11,FALSE),0)</f>
        <v>0</v>
      </c>
      <c r="AC94" s="54">
        <f t="shared" si="137"/>
        <v>0</v>
      </c>
      <c r="AE94" s="55" t="s">
        <v>147</v>
      </c>
      <c r="AF94" s="12"/>
      <c r="AG94" s="9"/>
      <c r="AH94" s="45">
        <f>IFERROR(VLOOKUP('Manufactured Items Models'!AF94,'Cost Master List'!$B$84:$L$98,11,FALSE),0)</f>
        <v>0</v>
      </c>
      <c r="AI94" s="54">
        <f t="shared" si="138"/>
        <v>0</v>
      </c>
      <c r="AK94" s="55" t="s">
        <v>147</v>
      </c>
      <c r="AL94" s="12"/>
      <c r="AM94" s="9"/>
      <c r="AN94" s="45">
        <f>IFERROR(VLOOKUP('Manufactured Items Models'!AL94,'Cost Master List'!$B$84:$L$98,11,FALSE),0)</f>
        <v>0</v>
      </c>
      <c r="AO94" s="54">
        <f t="shared" si="139"/>
        <v>0</v>
      </c>
      <c r="AQ94" s="55" t="s">
        <v>147</v>
      </c>
      <c r="AR94" s="12"/>
      <c r="AS94" s="9"/>
      <c r="AT94" s="45">
        <f>IFERROR(VLOOKUP('Manufactured Items Models'!AR94,'Cost Master List'!$B$84:$L$98,11,FALSE),0)</f>
        <v>0</v>
      </c>
      <c r="AU94" s="54">
        <f t="shared" si="140"/>
        <v>0</v>
      </c>
      <c r="AW94" s="55" t="s">
        <v>147</v>
      </c>
      <c r="AX94" s="12"/>
      <c r="AY94" s="9"/>
      <c r="AZ94" s="45">
        <f>IFERROR(VLOOKUP('Manufactured Items Models'!AX94,'Cost Master List'!$B$84:$L$98,11,FALSE),0)</f>
        <v>0</v>
      </c>
      <c r="BA94" s="54">
        <f t="shared" si="141"/>
        <v>0</v>
      </c>
    </row>
    <row r="95" spans="1:53" x14ac:dyDescent="0.25">
      <c r="A95" s="57" t="s">
        <v>148</v>
      </c>
      <c r="B95" s="47"/>
      <c r="C95" s="47"/>
      <c r="D95" s="47"/>
      <c r="E95" s="58">
        <v>1</v>
      </c>
      <c r="G95" s="57" t="s">
        <v>148</v>
      </c>
      <c r="H95" s="47"/>
      <c r="I95" s="47"/>
      <c r="J95" s="47"/>
      <c r="K95" s="58">
        <v>1</v>
      </c>
      <c r="M95" s="57" t="s">
        <v>148</v>
      </c>
      <c r="N95" s="47"/>
      <c r="O95" s="47"/>
      <c r="P95" s="47"/>
      <c r="Q95" s="58">
        <v>1</v>
      </c>
      <c r="S95" s="57" t="s">
        <v>148</v>
      </c>
      <c r="T95" s="47"/>
      <c r="U95" s="47"/>
      <c r="V95" s="47"/>
      <c r="W95" s="58">
        <v>1</v>
      </c>
      <c r="Y95" s="57" t="s">
        <v>148</v>
      </c>
      <c r="Z95" s="47"/>
      <c r="AA95" s="47"/>
      <c r="AB95" s="47"/>
      <c r="AC95" s="58">
        <v>1</v>
      </c>
      <c r="AE95" s="57" t="s">
        <v>148</v>
      </c>
      <c r="AF95" s="47"/>
      <c r="AG95" s="47"/>
      <c r="AH95" s="47"/>
      <c r="AI95" s="58">
        <v>1</v>
      </c>
      <c r="AK95" s="57" t="s">
        <v>148</v>
      </c>
      <c r="AL95" s="47"/>
      <c r="AM95" s="47"/>
      <c r="AN95" s="47"/>
      <c r="AO95" s="58">
        <v>1</v>
      </c>
      <c r="AQ95" s="57" t="s">
        <v>148</v>
      </c>
      <c r="AR95" s="47"/>
      <c r="AS95" s="47"/>
      <c r="AT95" s="47"/>
      <c r="AU95" s="58">
        <v>1</v>
      </c>
      <c r="AW95" s="57" t="s">
        <v>148</v>
      </c>
      <c r="AX95" s="47"/>
      <c r="AY95" s="47"/>
      <c r="AZ95" s="47"/>
      <c r="BA95" s="58">
        <v>1</v>
      </c>
    </row>
    <row r="96" spans="1:53" ht="15.75" thickBot="1" x14ac:dyDescent="0.3">
      <c r="A96" s="60"/>
      <c r="B96" s="84" t="s">
        <v>332</v>
      </c>
      <c r="C96" s="61"/>
      <c r="D96" s="61" t="s">
        <v>185</v>
      </c>
      <c r="E96" s="62">
        <f>+SUM(E87:E95)</f>
        <v>3.7782220972321765</v>
      </c>
      <c r="G96" s="60"/>
      <c r="H96" s="84"/>
      <c r="I96" s="61"/>
      <c r="J96" s="61" t="s">
        <v>185</v>
      </c>
      <c r="K96" s="62">
        <f>+SUM(K87:K95)</f>
        <v>1</v>
      </c>
      <c r="M96" s="60"/>
      <c r="N96" s="84"/>
      <c r="O96" s="61"/>
      <c r="P96" s="61" t="s">
        <v>185</v>
      </c>
      <c r="Q96" s="62">
        <f>+SUM(Q87:Q95)</f>
        <v>1</v>
      </c>
      <c r="S96" s="60"/>
      <c r="T96" s="84"/>
      <c r="U96" s="61"/>
      <c r="V96" s="61" t="s">
        <v>185</v>
      </c>
      <c r="W96" s="62">
        <f>+SUM(W87:W95)</f>
        <v>1</v>
      </c>
      <c r="Y96" s="60"/>
      <c r="Z96" s="84"/>
      <c r="AA96" s="61"/>
      <c r="AB96" s="61" t="s">
        <v>185</v>
      </c>
      <c r="AC96" s="62">
        <f>+SUM(AC87:AC95)</f>
        <v>1</v>
      </c>
      <c r="AE96" s="60"/>
      <c r="AF96" s="84"/>
      <c r="AG96" s="61"/>
      <c r="AH96" s="61" t="s">
        <v>185</v>
      </c>
      <c r="AI96" s="62">
        <f>+SUM(AI87:AI95)</f>
        <v>1</v>
      </c>
      <c r="AK96" s="57"/>
      <c r="AL96" s="47"/>
      <c r="AM96" s="47"/>
      <c r="AN96" s="47" t="s">
        <v>185</v>
      </c>
      <c r="AO96" s="59">
        <f>+SUM(AO87:AO95)</f>
        <v>1</v>
      </c>
      <c r="AQ96" s="57"/>
      <c r="AR96" s="47"/>
      <c r="AS96" s="47"/>
      <c r="AT96" s="47" t="s">
        <v>185</v>
      </c>
      <c r="AU96" s="59">
        <f>+SUM(AU87:AU95)</f>
        <v>1</v>
      </c>
      <c r="AW96" s="57"/>
      <c r="AX96" s="47"/>
      <c r="AY96" s="47"/>
      <c r="AZ96" s="47" t="s">
        <v>185</v>
      </c>
      <c r="BA96" s="59">
        <f>+SUM(BA87:BA95)</f>
        <v>1</v>
      </c>
    </row>
    <row r="97" spans="1:53" x14ac:dyDescent="0.25">
      <c r="A97" s="64"/>
      <c r="B97" s="63"/>
      <c r="C97" s="63"/>
      <c r="D97" s="63"/>
      <c r="E97" s="65"/>
      <c r="G97" s="64"/>
      <c r="H97" s="63"/>
      <c r="I97" s="63"/>
      <c r="J97" s="63"/>
      <c r="K97" s="65"/>
      <c r="M97" s="64"/>
      <c r="N97" s="63"/>
      <c r="O97" s="63"/>
      <c r="P97" s="63"/>
      <c r="Q97" s="65"/>
      <c r="S97" s="64"/>
      <c r="T97" s="63"/>
      <c r="U97" s="63"/>
      <c r="V97" s="63"/>
      <c r="W97" s="65"/>
      <c r="Y97" s="64"/>
      <c r="Z97" s="63"/>
      <c r="AA97" s="63"/>
      <c r="AB97" s="63"/>
      <c r="AC97" s="65"/>
      <c r="AE97" s="64"/>
      <c r="AF97" s="63"/>
      <c r="AG97" s="63"/>
      <c r="AH97" s="63"/>
      <c r="AI97" s="65"/>
      <c r="AK97" s="64"/>
      <c r="AL97" s="63"/>
      <c r="AM97" s="63"/>
      <c r="AN97" s="63"/>
      <c r="AO97" s="65"/>
      <c r="AQ97" s="64"/>
      <c r="AR97" s="63"/>
      <c r="AS97" s="63"/>
      <c r="AT97" s="63"/>
      <c r="AU97" s="65"/>
      <c r="AW97" s="64"/>
      <c r="AX97" s="63"/>
      <c r="AY97" s="63"/>
      <c r="AZ97" s="63"/>
      <c r="BA97" s="65"/>
    </row>
    <row r="98" spans="1:53" x14ac:dyDescent="0.25">
      <c r="A98" s="48">
        <v>44</v>
      </c>
      <c r="B98" s="82" t="s">
        <v>195</v>
      </c>
      <c r="C98" s="6" t="s">
        <v>138</v>
      </c>
      <c r="D98" s="6" t="s">
        <v>23</v>
      </c>
      <c r="E98" s="50" t="s">
        <v>139</v>
      </c>
      <c r="G98" s="48"/>
      <c r="H98" s="82"/>
      <c r="I98" s="6" t="s">
        <v>138</v>
      </c>
      <c r="J98" s="6" t="s">
        <v>23</v>
      </c>
      <c r="K98" s="50" t="s">
        <v>139</v>
      </c>
      <c r="M98" s="48"/>
      <c r="N98" s="82"/>
      <c r="O98" s="6" t="s">
        <v>138</v>
      </c>
      <c r="P98" s="6" t="s">
        <v>23</v>
      </c>
      <c r="Q98" s="50" t="s">
        <v>139</v>
      </c>
      <c r="S98" s="48"/>
      <c r="T98" s="82"/>
      <c r="U98" s="6" t="s">
        <v>138</v>
      </c>
      <c r="V98" s="6" t="s">
        <v>23</v>
      </c>
      <c r="W98" s="50" t="s">
        <v>139</v>
      </c>
      <c r="Y98" s="48"/>
      <c r="Z98" s="82"/>
      <c r="AA98" s="6" t="s">
        <v>138</v>
      </c>
      <c r="AB98" s="6" t="s">
        <v>23</v>
      </c>
      <c r="AC98" s="50" t="s">
        <v>139</v>
      </c>
      <c r="AE98" s="48"/>
      <c r="AF98" s="82"/>
      <c r="AG98" s="6" t="s">
        <v>138</v>
      </c>
      <c r="AH98" s="6" t="s">
        <v>23</v>
      </c>
      <c r="AI98" s="50" t="s">
        <v>139</v>
      </c>
      <c r="AK98" s="48"/>
      <c r="AL98" s="82"/>
      <c r="AM98" s="6" t="s">
        <v>138</v>
      </c>
      <c r="AN98" s="6" t="s">
        <v>23</v>
      </c>
      <c r="AO98" s="50" t="s">
        <v>139</v>
      </c>
      <c r="AQ98" s="48"/>
      <c r="AR98" s="82"/>
      <c r="AS98" s="6" t="s">
        <v>138</v>
      </c>
      <c r="AT98" s="6" t="s">
        <v>23</v>
      </c>
      <c r="AU98" s="50" t="s">
        <v>139</v>
      </c>
      <c r="AW98" s="48"/>
      <c r="AX98" s="82"/>
      <c r="AY98" s="6" t="s">
        <v>138</v>
      </c>
      <c r="AZ98" s="6" t="s">
        <v>23</v>
      </c>
      <c r="BA98" s="50" t="s">
        <v>139</v>
      </c>
    </row>
    <row r="99" spans="1:53" x14ac:dyDescent="0.25">
      <c r="A99" s="51" t="s">
        <v>140</v>
      </c>
      <c r="B99" s="10" t="s">
        <v>303</v>
      </c>
      <c r="C99" s="67">
        <v>0.4</v>
      </c>
      <c r="D99" s="44">
        <f>IFERROR(VLOOKUP(B99,'Cost Master List'!$B$2:$P$74,12,),0)</f>
        <v>6.1053605610037103</v>
      </c>
      <c r="E99" s="52">
        <f>+D99*C99</f>
        <v>2.4421442244014844</v>
      </c>
      <c r="G99" s="51" t="s">
        <v>140</v>
      </c>
      <c r="H99" s="10"/>
      <c r="I99" s="67"/>
      <c r="J99" s="44">
        <f>IFERROR(VLOOKUP(H99,'Cost Master List'!$B$2:$P$74,12,),0)</f>
        <v>0</v>
      </c>
      <c r="K99" s="52">
        <f>+J99*I99</f>
        <v>0</v>
      </c>
      <c r="M99" s="51" t="s">
        <v>140</v>
      </c>
      <c r="N99" s="10"/>
      <c r="O99" s="67"/>
      <c r="P99" s="44">
        <f>IFERROR(VLOOKUP(N99,'Cost Master List'!$B$2:$P$74,12,),0)</f>
        <v>0</v>
      </c>
      <c r="Q99" s="52">
        <f>+P99*O99</f>
        <v>0</v>
      </c>
      <c r="S99" s="51" t="s">
        <v>140</v>
      </c>
      <c r="T99" s="10"/>
      <c r="U99" s="67"/>
      <c r="V99" s="44">
        <f>IFERROR(VLOOKUP(T99,'Cost Master List'!$B$2:$P$74,12,),0)</f>
        <v>0</v>
      </c>
      <c r="W99" s="52">
        <f>+V99*U99</f>
        <v>0</v>
      </c>
      <c r="Y99" s="51" t="s">
        <v>140</v>
      </c>
      <c r="Z99" s="10"/>
      <c r="AA99" s="67"/>
      <c r="AB99" s="44">
        <f>IFERROR(VLOOKUP(Z99,'Cost Master List'!$B$2:$P$74,12,),0)</f>
        <v>0</v>
      </c>
      <c r="AC99" s="52">
        <f>+AB99*AA99</f>
        <v>0</v>
      </c>
      <c r="AE99" s="51" t="s">
        <v>140</v>
      </c>
      <c r="AF99" s="10"/>
      <c r="AG99" s="67"/>
      <c r="AH99" s="44">
        <f>IFERROR(VLOOKUP(AF99,'Cost Master List'!$B$2:$P$74,12,),0)</f>
        <v>0</v>
      </c>
      <c r="AI99" s="52">
        <f>+AH99*AG99</f>
        <v>0</v>
      </c>
      <c r="AK99" s="51" t="s">
        <v>140</v>
      </c>
      <c r="AL99" s="10"/>
      <c r="AM99" s="67"/>
      <c r="AN99" s="44">
        <f>IFERROR(VLOOKUP(AL99,'Cost Master List'!$B$2:$P$74,12,),0)</f>
        <v>0</v>
      </c>
      <c r="AO99" s="52">
        <f>+AN99*AM99</f>
        <v>0</v>
      </c>
      <c r="AQ99" s="51" t="s">
        <v>140</v>
      </c>
      <c r="AR99" s="10"/>
      <c r="AS99" s="67"/>
      <c r="AT99" s="44">
        <f>IFERROR(VLOOKUP(AR99,'Cost Master List'!$B$2:$P$74,12,),0)</f>
        <v>0</v>
      </c>
      <c r="AU99" s="52">
        <f>+AT99*AS99</f>
        <v>0</v>
      </c>
      <c r="AW99" s="51" t="s">
        <v>140</v>
      </c>
      <c r="AX99" s="10"/>
      <c r="AY99" s="67"/>
      <c r="AZ99" s="44">
        <f>IFERROR(VLOOKUP(AX99,'Cost Master List'!$B$2:$P$74,12,),0)</f>
        <v>0</v>
      </c>
      <c r="BA99" s="52">
        <f>+AZ99*AY99</f>
        <v>0</v>
      </c>
    </row>
    <row r="100" spans="1:53" x14ac:dyDescent="0.25">
      <c r="A100" s="53" t="s">
        <v>141</v>
      </c>
      <c r="B100" s="11" t="s">
        <v>198</v>
      </c>
      <c r="C100" s="68">
        <v>0.6</v>
      </c>
      <c r="D100" s="45">
        <f>IFERROR(VLOOKUP(B100,'Cost Master List'!$B$2:$P$74,12,),0)</f>
        <v>0.22679645471781987</v>
      </c>
      <c r="E100" s="54">
        <f t="shared" ref="E100:E103" si="142">+D100*C100</f>
        <v>0.13607787283069192</v>
      </c>
      <c r="G100" s="53" t="s">
        <v>141</v>
      </c>
      <c r="H100" s="11"/>
      <c r="I100" s="68"/>
      <c r="J100" s="45">
        <f>IFERROR(VLOOKUP(H100,'Cost Master List'!$B$2:$P$74,12,),0)</f>
        <v>0</v>
      </c>
      <c r="K100" s="54">
        <f t="shared" ref="K100:K103" si="143">+J100*I100</f>
        <v>0</v>
      </c>
      <c r="M100" s="53" t="s">
        <v>141</v>
      </c>
      <c r="N100" s="11"/>
      <c r="O100" s="68"/>
      <c r="P100" s="45">
        <f>IFERROR(VLOOKUP(N100,'Cost Master List'!$B$2:$P$74,12,),0)</f>
        <v>0</v>
      </c>
      <c r="Q100" s="54">
        <f t="shared" ref="Q100:Q103" si="144">+P100*O100</f>
        <v>0</v>
      </c>
      <c r="S100" s="53" t="s">
        <v>141</v>
      </c>
      <c r="T100" s="11"/>
      <c r="U100" s="68"/>
      <c r="V100" s="45">
        <f>IFERROR(VLOOKUP(T100,'Cost Master List'!$B$2:$P$74,12,),0)</f>
        <v>0</v>
      </c>
      <c r="W100" s="54">
        <f t="shared" ref="W100:W103" si="145">+V100*U100</f>
        <v>0</v>
      </c>
      <c r="Y100" s="53" t="s">
        <v>141</v>
      </c>
      <c r="Z100" s="11"/>
      <c r="AA100" s="68"/>
      <c r="AB100" s="45">
        <f>IFERROR(VLOOKUP(Z100,'Cost Master List'!$B$2:$P$74,12,),0)</f>
        <v>0</v>
      </c>
      <c r="AC100" s="54">
        <f t="shared" ref="AC100:AC103" si="146">+AB100*AA100</f>
        <v>0</v>
      </c>
      <c r="AE100" s="53" t="s">
        <v>141</v>
      </c>
      <c r="AF100" s="11"/>
      <c r="AG100" s="68"/>
      <c r="AH100" s="45">
        <f>IFERROR(VLOOKUP(AF100,'Cost Master List'!$B$2:$P$74,12,),0)</f>
        <v>0</v>
      </c>
      <c r="AI100" s="54">
        <f t="shared" ref="AI100:AI103" si="147">+AH100*AG100</f>
        <v>0</v>
      </c>
      <c r="AK100" s="53" t="s">
        <v>141</v>
      </c>
      <c r="AL100" s="11"/>
      <c r="AM100" s="68"/>
      <c r="AN100" s="45">
        <f>IFERROR(VLOOKUP(AL100,'Cost Master List'!$B$2:$P$74,12,),0)</f>
        <v>0</v>
      </c>
      <c r="AO100" s="54">
        <f t="shared" ref="AO100:AO103" si="148">+AN100*AM100</f>
        <v>0</v>
      </c>
      <c r="AQ100" s="53" t="s">
        <v>141</v>
      </c>
      <c r="AR100" s="11"/>
      <c r="AS100" s="68"/>
      <c r="AT100" s="45">
        <f>IFERROR(VLOOKUP(AR100,'Cost Master List'!$B$2:$P$74,12,),0)</f>
        <v>0</v>
      </c>
      <c r="AU100" s="54">
        <f t="shared" ref="AU100:AU103" si="149">+AT100*AS100</f>
        <v>0</v>
      </c>
      <c r="AW100" s="53" t="s">
        <v>141</v>
      </c>
      <c r="AX100" s="11"/>
      <c r="AY100" s="68"/>
      <c r="AZ100" s="45">
        <f>IFERROR(VLOOKUP(AX100,'Cost Master List'!$B$2:$P$74,12,),0)</f>
        <v>0</v>
      </c>
      <c r="BA100" s="54">
        <f t="shared" ref="BA100:BA103" si="150">+AZ100*AY100</f>
        <v>0</v>
      </c>
    </row>
    <row r="101" spans="1:53" x14ac:dyDescent="0.25">
      <c r="A101" s="53" t="s">
        <v>142</v>
      </c>
      <c r="B101" s="11"/>
      <c r="C101" s="68"/>
      <c r="D101" s="45">
        <f>IFERROR(VLOOKUP(B101,'Cost Master List'!$B$2:$P$74,12,),0)</f>
        <v>0</v>
      </c>
      <c r="E101" s="54">
        <f t="shared" si="142"/>
        <v>0</v>
      </c>
      <c r="G101" s="53" t="s">
        <v>142</v>
      </c>
      <c r="H101" s="11"/>
      <c r="I101" s="68"/>
      <c r="J101" s="45">
        <f>IFERROR(VLOOKUP(H101,'Cost Master List'!$B$2:$P$74,12,),0)</f>
        <v>0</v>
      </c>
      <c r="K101" s="54">
        <f t="shared" si="143"/>
        <v>0</v>
      </c>
      <c r="M101" s="53" t="s">
        <v>142</v>
      </c>
      <c r="N101" s="11"/>
      <c r="O101" s="68"/>
      <c r="P101" s="45">
        <f>IFERROR(VLOOKUP(N101,'Cost Master List'!$B$2:$P$74,12,),0)</f>
        <v>0</v>
      </c>
      <c r="Q101" s="54">
        <f t="shared" si="144"/>
        <v>0</v>
      </c>
      <c r="S101" s="53" t="s">
        <v>142</v>
      </c>
      <c r="T101" s="11"/>
      <c r="U101" s="68"/>
      <c r="V101" s="45">
        <f>IFERROR(VLOOKUP(T101,'Cost Master List'!$B$2:$P$74,12,),0)</f>
        <v>0</v>
      </c>
      <c r="W101" s="54">
        <f t="shared" si="145"/>
        <v>0</v>
      </c>
      <c r="Y101" s="53" t="s">
        <v>142</v>
      </c>
      <c r="Z101" s="11"/>
      <c r="AA101" s="68"/>
      <c r="AB101" s="45">
        <f>IFERROR(VLOOKUP(Z101,'Cost Master List'!$B$2:$P$74,12,),0)</f>
        <v>0</v>
      </c>
      <c r="AC101" s="54">
        <f t="shared" si="146"/>
        <v>0</v>
      </c>
      <c r="AE101" s="53" t="s">
        <v>142</v>
      </c>
      <c r="AF101" s="11"/>
      <c r="AG101" s="68"/>
      <c r="AH101" s="45">
        <f>IFERROR(VLOOKUP(AF101,'Cost Master List'!$B$2:$P$74,12,),0)</f>
        <v>0</v>
      </c>
      <c r="AI101" s="54">
        <f t="shared" si="147"/>
        <v>0</v>
      </c>
      <c r="AK101" s="53" t="s">
        <v>142</v>
      </c>
      <c r="AL101" s="11"/>
      <c r="AM101" s="68"/>
      <c r="AN101" s="45">
        <f>IFERROR(VLOOKUP(AL101,'Cost Master List'!$B$2:$P$74,12,),0)</f>
        <v>0</v>
      </c>
      <c r="AO101" s="54">
        <f t="shared" si="148"/>
        <v>0</v>
      </c>
      <c r="AQ101" s="53" t="s">
        <v>142</v>
      </c>
      <c r="AR101" s="11"/>
      <c r="AS101" s="68"/>
      <c r="AT101" s="45">
        <f>IFERROR(VLOOKUP(AR101,'Cost Master List'!$B$2:$P$74,12,),0)</f>
        <v>0</v>
      </c>
      <c r="AU101" s="54">
        <f t="shared" si="149"/>
        <v>0</v>
      </c>
      <c r="AW101" s="53" t="s">
        <v>142</v>
      </c>
      <c r="AX101" s="11"/>
      <c r="AY101" s="68"/>
      <c r="AZ101" s="45">
        <f>IFERROR(VLOOKUP(AX101,'Cost Master List'!$B$2:$P$74,12,),0)</f>
        <v>0</v>
      </c>
      <c r="BA101" s="54">
        <f t="shared" si="150"/>
        <v>0</v>
      </c>
    </row>
    <row r="102" spans="1:53" x14ac:dyDescent="0.25">
      <c r="A102" s="53" t="s">
        <v>143</v>
      </c>
      <c r="B102" s="11"/>
      <c r="C102" s="68"/>
      <c r="D102" s="45">
        <f>IFERROR(VLOOKUP(B102,'Cost Master List'!$B$2:$P$74,12,),0)</f>
        <v>0</v>
      </c>
      <c r="E102" s="54">
        <f t="shared" si="142"/>
        <v>0</v>
      </c>
      <c r="G102" s="53" t="s">
        <v>143</v>
      </c>
      <c r="H102" s="11"/>
      <c r="I102" s="68"/>
      <c r="J102" s="45">
        <f>IFERROR(VLOOKUP(H102,'Cost Master List'!$B$2:$P$74,12,),0)</f>
        <v>0</v>
      </c>
      <c r="K102" s="54">
        <f t="shared" si="143"/>
        <v>0</v>
      </c>
      <c r="M102" s="53" t="s">
        <v>143</v>
      </c>
      <c r="N102" s="11"/>
      <c r="O102" s="68"/>
      <c r="P102" s="45">
        <f>IFERROR(VLOOKUP(N102,'Cost Master List'!$B$2:$P$74,12,),0)</f>
        <v>0</v>
      </c>
      <c r="Q102" s="54">
        <f t="shared" si="144"/>
        <v>0</v>
      </c>
      <c r="S102" s="53" t="s">
        <v>143</v>
      </c>
      <c r="T102" s="11"/>
      <c r="U102" s="68"/>
      <c r="V102" s="45">
        <f>IFERROR(VLOOKUP(T102,'Cost Master List'!$B$2:$P$74,12,),0)</f>
        <v>0</v>
      </c>
      <c r="W102" s="54">
        <f t="shared" si="145"/>
        <v>0</v>
      </c>
      <c r="Y102" s="53" t="s">
        <v>143</v>
      </c>
      <c r="Z102" s="11"/>
      <c r="AA102" s="68"/>
      <c r="AB102" s="45">
        <f>IFERROR(VLOOKUP(Z102,'Cost Master List'!$B$2:$P$74,12,),0)</f>
        <v>0</v>
      </c>
      <c r="AC102" s="54">
        <f t="shared" si="146"/>
        <v>0</v>
      </c>
      <c r="AE102" s="53" t="s">
        <v>143</v>
      </c>
      <c r="AF102" s="11"/>
      <c r="AG102" s="68"/>
      <c r="AH102" s="45">
        <f>IFERROR(VLOOKUP(AF102,'Cost Master List'!$B$2:$P$74,12,),0)</f>
        <v>0</v>
      </c>
      <c r="AI102" s="54">
        <f t="shared" si="147"/>
        <v>0</v>
      </c>
      <c r="AK102" s="53" t="s">
        <v>143</v>
      </c>
      <c r="AL102" s="11"/>
      <c r="AM102" s="68"/>
      <c r="AN102" s="45">
        <f>IFERROR(VLOOKUP(AL102,'Cost Master List'!$B$2:$P$74,12,),0)</f>
        <v>0</v>
      </c>
      <c r="AO102" s="54">
        <f t="shared" si="148"/>
        <v>0</v>
      </c>
      <c r="AQ102" s="53" t="s">
        <v>143</v>
      </c>
      <c r="AR102" s="11"/>
      <c r="AS102" s="68"/>
      <c r="AT102" s="45">
        <f>IFERROR(VLOOKUP(AR102,'Cost Master List'!$B$2:$P$74,12,),0)</f>
        <v>0</v>
      </c>
      <c r="AU102" s="54">
        <f t="shared" si="149"/>
        <v>0</v>
      </c>
      <c r="AW102" s="53" t="s">
        <v>143</v>
      </c>
      <c r="AX102" s="11"/>
      <c r="AY102" s="68"/>
      <c r="AZ102" s="45">
        <f>IFERROR(VLOOKUP(AX102,'Cost Master List'!$B$2:$P$74,12,),0)</f>
        <v>0</v>
      </c>
      <c r="BA102" s="54">
        <f t="shared" si="150"/>
        <v>0</v>
      </c>
    </row>
    <row r="103" spans="1:53" x14ac:dyDescent="0.25">
      <c r="A103" s="55" t="s">
        <v>144</v>
      </c>
      <c r="B103" s="11"/>
      <c r="C103" s="69"/>
      <c r="D103" s="46">
        <f>IFERROR(VLOOKUP(B103,'Cost Master List'!$B$2:$P$74,12,),0)</f>
        <v>0</v>
      </c>
      <c r="E103" s="56">
        <f t="shared" si="142"/>
        <v>0</v>
      </c>
      <c r="G103" s="55" t="s">
        <v>144</v>
      </c>
      <c r="H103" s="11"/>
      <c r="I103" s="69"/>
      <c r="J103" s="46">
        <f>IFERROR(VLOOKUP(H103,'Cost Master List'!$B$2:$P$74,12,),0)</f>
        <v>0</v>
      </c>
      <c r="K103" s="56">
        <f t="shared" si="143"/>
        <v>0</v>
      </c>
      <c r="M103" s="55" t="s">
        <v>144</v>
      </c>
      <c r="N103" s="11"/>
      <c r="O103" s="69"/>
      <c r="P103" s="46">
        <f>IFERROR(VLOOKUP(N103,'Cost Master List'!$B$2:$P$74,12,),0)</f>
        <v>0</v>
      </c>
      <c r="Q103" s="56">
        <f t="shared" si="144"/>
        <v>0</v>
      </c>
      <c r="S103" s="55" t="s">
        <v>144</v>
      </c>
      <c r="T103" s="11"/>
      <c r="U103" s="69"/>
      <c r="V103" s="46">
        <f>IFERROR(VLOOKUP(T103,'Cost Master List'!$B$2:$P$74,12,),0)</f>
        <v>0</v>
      </c>
      <c r="W103" s="56">
        <f t="shared" si="145"/>
        <v>0</v>
      </c>
      <c r="Y103" s="55" t="s">
        <v>144</v>
      </c>
      <c r="Z103" s="11"/>
      <c r="AA103" s="69"/>
      <c r="AB103" s="46">
        <f>IFERROR(VLOOKUP(Z103,'Cost Master List'!$B$2:$P$74,12,),0)</f>
        <v>0</v>
      </c>
      <c r="AC103" s="56">
        <f t="shared" si="146"/>
        <v>0</v>
      </c>
      <c r="AE103" s="55" t="s">
        <v>144</v>
      </c>
      <c r="AF103" s="11"/>
      <c r="AG103" s="69"/>
      <c r="AH103" s="46">
        <f>IFERROR(VLOOKUP(AF103,'Cost Master List'!$B$2:$P$74,12,),0)</f>
        <v>0</v>
      </c>
      <c r="AI103" s="56">
        <f t="shared" si="147"/>
        <v>0</v>
      </c>
      <c r="AK103" s="55" t="s">
        <v>144</v>
      </c>
      <c r="AL103" s="11"/>
      <c r="AM103" s="69"/>
      <c r="AN103" s="46">
        <f>IFERROR(VLOOKUP(AL103,'Cost Master List'!$B$2:$P$74,12,),0)</f>
        <v>0</v>
      </c>
      <c r="AO103" s="56">
        <f t="shared" si="148"/>
        <v>0</v>
      </c>
      <c r="AQ103" s="55" t="s">
        <v>144</v>
      </c>
      <c r="AR103" s="11"/>
      <c r="AS103" s="69"/>
      <c r="AT103" s="46">
        <f>IFERROR(VLOOKUP(AR103,'Cost Master List'!$B$2:$P$74,12,),0)</f>
        <v>0</v>
      </c>
      <c r="AU103" s="56">
        <f t="shared" si="149"/>
        <v>0</v>
      </c>
      <c r="AW103" s="55" t="s">
        <v>144</v>
      </c>
      <c r="AX103" s="11"/>
      <c r="AY103" s="69"/>
      <c r="AZ103" s="46">
        <f>IFERROR(VLOOKUP(AX103,'Cost Master List'!$B$2:$P$74,12,),0)</f>
        <v>0</v>
      </c>
      <c r="BA103" s="56">
        <f t="shared" si="150"/>
        <v>0</v>
      </c>
    </row>
    <row r="104" spans="1:53" x14ac:dyDescent="0.25">
      <c r="A104" s="51" t="s">
        <v>145</v>
      </c>
      <c r="B104" s="10" t="s">
        <v>184</v>
      </c>
      <c r="C104" s="8"/>
      <c r="D104" s="45">
        <f>IFERROR(VLOOKUP('Manufactured Items Models'!B104,'Cost Master List'!$B$84:$L$98,11,FALSE),0)</f>
        <v>9.68</v>
      </c>
      <c r="E104" s="54">
        <f>+D104/$A$98</f>
        <v>0.22</v>
      </c>
      <c r="G104" s="51" t="s">
        <v>145</v>
      </c>
      <c r="H104" s="10"/>
      <c r="I104" s="8"/>
      <c r="J104" s="45">
        <f>IFERROR(VLOOKUP('Manufactured Items Models'!H104,'Cost Master List'!$B$84:$L$98,11,FALSE),0)</f>
        <v>0</v>
      </c>
      <c r="K104" s="54">
        <f>+J104/$G$14</f>
        <v>0</v>
      </c>
      <c r="M104" s="51" t="s">
        <v>145</v>
      </c>
      <c r="N104" s="10"/>
      <c r="O104" s="8"/>
      <c r="P104" s="45">
        <f>IFERROR(VLOOKUP('Manufactured Items Models'!N104,'Cost Master List'!$B$84:$L$98,11,FALSE),0)</f>
        <v>0</v>
      </c>
      <c r="Q104" s="54">
        <f>+P104/$G$14</f>
        <v>0</v>
      </c>
      <c r="S104" s="51" t="s">
        <v>145</v>
      </c>
      <c r="T104" s="10"/>
      <c r="U104" s="8"/>
      <c r="V104" s="45">
        <f>IFERROR(VLOOKUP('Manufactured Items Models'!T104,'Cost Master List'!$B$84:$L$98,11,FALSE),0)</f>
        <v>0</v>
      </c>
      <c r="W104" s="54">
        <f>+V104/$G$14</f>
        <v>0</v>
      </c>
      <c r="Y104" s="51" t="s">
        <v>145</v>
      </c>
      <c r="Z104" s="10"/>
      <c r="AA104" s="8"/>
      <c r="AB104" s="45">
        <f>IFERROR(VLOOKUP('Manufactured Items Models'!Z104,'Cost Master List'!$B$84:$L$98,11,FALSE),0)</f>
        <v>0</v>
      </c>
      <c r="AC104" s="54">
        <f>+AB104/$G$14</f>
        <v>0</v>
      </c>
      <c r="AE104" s="51" t="s">
        <v>145</v>
      </c>
      <c r="AF104" s="10"/>
      <c r="AG104" s="8"/>
      <c r="AH104" s="45">
        <f>IFERROR(VLOOKUP('Manufactured Items Models'!AF104,'Cost Master List'!$B$84:$L$98,11,FALSE),0)</f>
        <v>0</v>
      </c>
      <c r="AI104" s="54">
        <f>+AH104/$G$14</f>
        <v>0</v>
      </c>
      <c r="AK104" s="51" t="s">
        <v>145</v>
      </c>
      <c r="AL104" s="10"/>
      <c r="AM104" s="8"/>
      <c r="AN104" s="45">
        <f>IFERROR(VLOOKUP('Manufactured Items Models'!AL104,'Cost Master List'!$B$84:$L$98,11,FALSE),0)</f>
        <v>0</v>
      </c>
      <c r="AO104" s="54">
        <f>+AN104/$G$14</f>
        <v>0</v>
      </c>
      <c r="AQ104" s="51" t="s">
        <v>145</v>
      </c>
      <c r="AR104" s="10"/>
      <c r="AS104" s="8"/>
      <c r="AT104" s="45">
        <f>IFERROR(VLOOKUP('Manufactured Items Models'!AR104,'Cost Master List'!$B$84:$L$98,11,FALSE),0)</f>
        <v>0</v>
      </c>
      <c r="AU104" s="54">
        <f>+AT104/$G$14</f>
        <v>0</v>
      </c>
      <c r="AW104" s="51" t="s">
        <v>145</v>
      </c>
      <c r="AX104" s="10"/>
      <c r="AY104" s="8"/>
      <c r="AZ104" s="45">
        <f>IFERROR(VLOOKUP('Manufactured Items Models'!AX104,'Cost Master List'!$B$84:$L$98,11,FALSE),0)</f>
        <v>0</v>
      </c>
      <c r="BA104" s="54">
        <f>+AZ104/$G$14</f>
        <v>0</v>
      </c>
    </row>
    <row r="105" spans="1:53" x14ac:dyDescent="0.25">
      <c r="A105" s="53" t="s">
        <v>146</v>
      </c>
      <c r="B105" s="11"/>
      <c r="D105" s="45">
        <f>IFERROR(VLOOKUP('Manufactured Items Models'!B105,'Cost Master List'!$B$84:$L$98,11,FALSE),0)</f>
        <v>0</v>
      </c>
      <c r="E105" s="54">
        <f>+D105/$A$98</f>
        <v>0</v>
      </c>
      <c r="G105" s="53" t="s">
        <v>146</v>
      </c>
      <c r="H105" s="11"/>
      <c r="J105" s="45">
        <f>IFERROR(VLOOKUP('Manufactured Items Models'!H105,'Cost Master List'!$B$84:$L$98,11,FALSE),0)</f>
        <v>0</v>
      </c>
      <c r="K105" s="54">
        <f t="shared" ref="K105:K106" si="151">+J105/$G$14</f>
        <v>0</v>
      </c>
      <c r="M105" s="53" t="s">
        <v>146</v>
      </c>
      <c r="N105" s="11"/>
      <c r="P105" s="45">
        <f>IFERROR(VLOOKUP('Manufactured Items Models'!N105,'Cost Master List'!$B$84:$L$98,11,FALSE),0)</f>
        <v>0</v>
      </c>
      <c r="Q105" s="54">
        <f t="shared" ref="Q105:Q106" si="152">+P105/$G$14</f>
        <v>0</v>
      </c>
      <c r="S105" s="53" t="s">
        <v>146</v>
      </c>
      <c r="T105" s="11"/>
      <c r="V105" s="45">
        <f>IFERROR(VLOOKUP('Manufactured Items Models'!T105,'Cost Master List'!$B$84:$L$98,11,FALSE),0)</f>
        <v>0</v>
      </c>
      <c r="W105" s="54">
        <f t="shared" ref="W105:W106" si="153">+V105/$G$14</f>
        <v>0</v>
      </c>
      <c r="Y105" s="53" t="s">
        <v>146</v>
      </c>
      <c r="Z105" s="11"/>
      <c r="AB105" s="45">
        <f>IFERROR(VLOOKUP('Manufactured Items Models'!Z105,'Cost Master List'!$B$84:$L$98,11,FALSE),0)</f>
        <v>0</v>
      </c>
      <c r="AC105" s="54">
        <f t="shared" ref="AC105:AC106" si="154">+AB105/$G$14</f>
        <v>0</v>
      </c>
      <c r="AE105" s="53" t="s">
        <v>146</v>
      </c>
      <c r="AF105" s="11"/>
      <c r="AH105" s="45">
        <f>IFERROR(VLOOKUP('Manufactured Items Models'!AF105,'Cost Master List'!$B$84:$L$98,11,FALSE),0)</f>
        <v>0</v>
      </c>
      <c r="AI105" s="54">
        <f t="shared" ref="AI105:AI106" si="155">+AH105/$G$14</f>
        <v>0</v>
      </c>
      <c r="AK105" s="53" t="s">
        <v>146</v>
      </c>
      <c r="AL105" s="11"/>
      <c r="AN105" s="45">
        <f>IFERROR(VLOOKUP('Manufactured Items Models'!AL105,'Cost Master List'!$B$84:$L$98,11,FALSE),0)</f>
        <v>0</v>
      </c>
      <c r="AO105" s="54">
        <f t="shared" ref="AO105:AO106" si="156">+AN105/$G$14</f>
        <v>0</v>
      </c>
      <c r="AQ105" s="53" t="s">
        <v>146</v>
      </c>
      <c r="AR105" s="11"/>
      <c r="AT105" s="45">
        <f>IFERROR(VLOOKUP('Manufactured Items Models'!AR105,'Cost Master List'!$B$84:$L$98,11,FALSE),0)</f>
        <v>0</v>
      </c>
      <c r="AU105" s="54">
        <f t="shared" ref="AU105:AU106" si="157">+AT105/$G$14</f>
        <v>0</v>
      </c>
      <c r="AW105" s="53" t="s">
        <v>146</v>
      </c>
      <c r="AX105" s="11"/>
      <c r="AZ105" s="45">
        <f>IFERROR(VLOOKUP('Manufactured Items Models'!AX105,'Cost Master List'!$B$84:$L$98,11,FALSE),0)</f>
        <v>0</v>
      </c>
      <c r="BA105" s="54">
        <f t="shared" ref="BA105:BA106" si="158">+AZ105/$G$14</f>
        <v>0</v>
      </c>
    </row>
    <row r="106" spans="1:53" x14ac:dyDescent="0.25">
      <c r="A106" s="55" t="s">
        <v>147</v>
      </c>
      <c r="B106" s="12"/>
      <c r="C106" s="9"/>
      <c r="D106" s="45">
        <f>IFERROR(VLOOKUP('Manufactured Items Models'!B106,'Cost Master List'!$B$84:$L$98,11,FALSE),0)</f>
        <v>0</v>
      </c>
      <c r="E106" s="54">
        <f>+D106/$A$98</f>
        <v>0</v>
      </c>
      <c r="G106" s="55" t="s">
        <v>147</v>
      </c>
      <c r="H106" s="12"/>
      <c r="I106" s="9"/>
      <c r="J106" s="45">
        <f>IFERROR(VLOOKUP('Manufactured Items Models'!H106,'Cost Master List'!$B$84:$L$98,11,FALSE),0)</f>
        <v>0</v>
      </c>
      <c r="K106" s="54">
        <f t="shared" si="151"/>
        <v>0</v>
      </c>
      <c r="M106" s="55" t="s">
        <v>147</v>
      </c>
      <c r="N106" s="12"/>
      <c r="O106" s="9"/>
      <c r="P106" s="45">
        <f>IFERROR(VLOOKUP('Manufactured Items Models'!N106,'Cost Master List'!$B$84:$L$98,11,FALSE),0)</f>
        <v>0</v>
      </c>
      <c r="Q106" s="54">
        <f t="shared" si="152"/>
        <v>0</v>
      </c>
      <c r="S106" s="55" t="s">
        <v>147</v>
      </c>
      <c r="T106" s="12"/>
      <c r="U106" s="9"/>
      <c r="V106" s="45">
        <f>IFERROR(VLOOKUP('Manufactured Items Models'!T106,'Cost Master List'!$B$84:$L$98,11,FALSE),0)</f>
        <v>0</v>
      </c>
      <c r="W106" s="54">
        <f t="shared" si="153"/>
        <v>0</v>
      </c>
      <c r="Y106" s="55" t="s">
        <v>147</v>
      </c>
      <c r="Z106" s="12"/>
      <c r="AA106" s="9"/>
      <c r="AB106" s="45">
        <f>IFERROR(VLOOKUP('Manufactured Items Models'!Z106,'Cost Master List'!$B$84:$L$98,11,FALSE),0)</f>
        <v>0</v>
      </c>
      <c r="AC106" s="54">
        <f t="shared" si="154"/>
        <v>0</v>
      </c>
      <c r="AE106" s="55" t="s">
        <v>147</v>
      </c>
      <c r="AF106" s="12"/>
      <c r="AG106" s="9"/>
      <c r="AH106" s="45">
        <f>IFERROR(VLOOKUP('Manufactured Items Models'!AF106,'Cost Master List'!$B$84:$L$98,11,FALSE),0)</f>
        <v>0</v>
      </c>
      <c r="AI106" s="54">
        <f t="shared" si="155"/>
        <v>0</v>
      </c>
      <c r="AK106" s="55" t="s">
        <v>147</v>
      </c>
      <c r="AL106" s="12"/>
      <c r="AM106" s="9"/>
      <c r="AN106" s="45">
        <f>IFERROR(VLOOKUP('Manufactured Items Models'!AL106,'Cost Master List'!$B$84:$L$98,11,FALSE),0)</f>
        <v>0</v>
      </c>
      <c r="AO106" s="54">
        <f t="shared" si="156"/>
        <v>0</v>
      </c>
      <c r="AQ106" s="55" t="s">
        <v>147</v>
      </c>
      <c r="AR106" s="12"/>
      <c r="AS106" s="9"/>
      <c r="AT106" s="45">
        <f>IFERROR(VLOOKUP('Manufactured Items Models'!AR106,'Cost Master List'!$B$84:$L$98,11,FALSE),0)</f>
        <v>0</v>
      </c>
      <c r="AU106" s="54">
        <f t="shared" si="157"/>
        <v>0</v>
      </c>
      <c r="AW106" s="55" t="s">
        <v>147</v>
      </c>
      <c r="AX106" s="12"/>
      <c r="AY106" s="9"/>
      <c r="AZ106" s="45">
        <f>IFERROR(VLOOKUP('Manufactured Items Models'!AX106,'Cost Master List'!$B$84:$L$98,11,FALSE),0)</f>
        <v>0</v>
      </c>
      <c r="BA106" s="54">
        <f t="shared" si="158"/>
        <v>0</v>
      </c>
    </row>
    <row r="107" spans="1:53" x14ac:dyDescent="0.25">
      <c r="A107" s="57" t="s">
        <v>148</v>
      </c>
      <c r="B107" s="47"/>
      <c r="C107" s="47"/>
      <c r="D107" s="47"/>
      <c r="E107" s="58">
        <v>1</v>
      </c>
      <c r="G107" s="57" t="s">
        <v>148</v>
      </c>
      <c r="H107" s="47"/>
      <c r="I107" s="47"/>
      <c r="J107" s="47"/>
      <c r="K107" s="58">
        <v>1</v>
      </c>
      <c r="M107" s="57" t="s">
        <v>148</v>
      </c>
      <c r="N107" s="47"/>
      <c r="O107" s="47"/>
      <c r="P107" s="47"/>
      <c r="Q107" s="58">
        <v>1</v>
      </c>
      <c r="S107" s="57" t="s">
        <v>148</v>
      </c>
      <c r="T107" s="47"/>
      <c r="U107" s="47"/>
      <c r="V107" s="47"/>
      <c r="W107" s="58">
        <v>1</v>
      </c>
      <c r="Y107" s="57" t="s">
        <v>148</v>
      </c>
      <c r="Z107" s="47"/>
      <c r="AA107" s="47"/>
      <c r="AB107" s="47"/>
      <c r="AC107" s="58">
        <v>1</v>
      </c>
      <c r="AE107" s="57" t="s">
        <v>148</v>
      </c>
      <c r="AF107" s="47"/>
      <c r="AG107" s="47"/>
      <c r="AH107" s="47"/>
      <c r="AI107" s="58">
        <v>1</v>
      </c>
      <c r="AK107" s="57" t="s">
        <v>148</v>
      </c>
      <c r="AL107" s="47"/>
      <c r="AM107" s="47"/>
      <c r="AN107" s="47"/>
      <c r="AO107" s="58">
        <v>1</v>
      </c>
      <c r="AQ107" s="57" t="s">
        <v>148</v>
      </c>
      <c r="AR107" s="47"/>
      <c r="AS107" s="47"/>
      <c r="AT107" s="47"/>
      <c r="AU107" s="58">
        <v>1</v>
      </c>
      <c r="AW107" s="57" t="s">
        <v>148</v>
      </c>
      <c r="AX107" s="47"/>
      <c r="AY107" s="47"/>
      <c r="AZ107" s="47"/>
      <c r="BA107" s="58">
        <v>1</v>
      </c>
    </row>
    <row r="108" spans="1:53" ht="15.75" thickBot="1" x14ac:dyDescent="0.3">
      <c r="A108" s="60"/>
      <c r="B108" s="84" t="s">
        <v>336</v>
      </c>
      <c r="C108" s="61"/>
      <c r="D108" s="61" t="s">
        <v>185</v>
      </c>
      <c r="E108" s="62">
        <f>+SUM(E99:E107)</f>
        <v>3.7982220972321765</v>
      </c>
      <c r="G108" s="60"/>
      <c r="H108" s="84"/>
      <c r="I108" s="61"/>
      <c r="J108" s="61" t="s">
        <v>185</v>
      </c>
      <c r="K108" s="62">
        <f>+SUM(K99:K107)</f>
        <v>1</v>
      </c>
      <c r="M108" s="60"/>
      <c r="N108" s="84"/>
      <c r="O108" s="61"/>
      <c r="P108" s="61" t="s">
        <v>185</v>
      </c>
      <c r="Q108" s="62">
        <f>+SUM(Q99:Q107)</f>
        <v>1</v>
      </c>
      <c r="S108" s="60"/>
      <c r="T108" s="84"/>
      <c r="U108" s="61"/>
      <c r="V108" s="61" t="s">
        <v>185</v>
      </c>
      <c r="W108" s="62">
        <f>+SUM(W99:W107)</f>
        <v>1</v>
      </c>
      <c r="Y108" s="60"/>
      <c r="Z108" s="84"/>
      <c r="AA108" s="61"/>
      <c r="AB108" s="61" t="s">
        <v>185</v>
      </c>
      <c r="AC108" s="62">
        <f>+SUM(AC99:AC107)</f>
        <v>1</v>
      </c>
      <c r="AE108" s="60"/>
      <c r="AF108" s="84"/>
      <c r="AG108" s="61"/>
      <c r="AH108" s="61" t="s">
        <v>185</v>
      </c>
      <c r="AI108" s="62">
        <f>+SUM(AI99:AI107)</f>
        <v>1</v>
      </c>
      <c r="AK108" s="57"/>
      <c r="AL108" s="47"/>
      <c r="AM108" s="47"/>
      <c r="AN108" s="47" t="s">
        <v>185</v>
      </c>
      <c r="AO108" s="59">
        <f>+SUM(AO99:AO107)</f>
        <v>1</v>
      </c>
      <c r="AQ108" s="57"/>
      <c r="AR108" s="47"/>
      <c r="AS108" s="47"/>
      <c r="AT108" s="47" t="s">
        <v>185</v>
      </c>
      <c r="AU108" s="59">
        <f>+SUM(AU99:AU107)</f>
        <v>1</v>
      </c>
      <c r="AW108" s="57"/>
      <c r="AX108" s="47"/>
      <c r="AY108" s="47"/>
      <c r="AZ108" s="47" t="s">
        <v>185</v>
      </c>
      <c r="BA108" s="59">
        <f>+SUM(BA99:BA107)</f>
        <v>1</v>
      </c>
    </row>
    <row r="109" spans="1:53" x14ac:dyDescent="0.25">
      <c r="G109" s="64"/>
      <c r="H109" s="63"/>
      <c r="I109" s="63"/>
      <c r="J109" s="63"/>
      <c r="K109" s="65"/>
      <c r="M109" s="64"/>
      <c r="N109" s="63"/>
      <c r="O109" s="63"/>
      <c r="P109" s="63"/>
      <c r="Q109" s="65"/>
      <c r="S109" s="64"/>
      <c r="T109" s="63"/>
      <c r="U109" s="63"/>
      <c r="V109" s="63"/>
      <c r="W109" s="65"/>
      <c r="Y109" s="64"/>
      <c r="Z109" s="63"/>
      <c r="AA109" s="63"/>
      <c r="AB109" s="63"/>
      <c r="AC109" s="65"/>
      <c r="AE109" s="64"/>
      <c r="AF109" s="63"/>
      <c r="AG109" s="63"/>
      <c r="AH109" s="63"/>
      <c r="AI109" s="65"/>
      <c r="AK109" s="64"/>
      <c r="AL109" s="63"/>
      <c r="AM109" s="63"/>
      <c r="AN109" s="63"/>
      <c r="AO109" s="65"/>
      <c r="AQ109" s="64"/>
      <c r="AR109" s="63"/>
      <c r="AS109" s="63"/>
      <c r="AT109" s="63"/>
      <c r="AU109" s="65"/>
      <c r="AW109" s="64"/>
      <c r="AX109" s="63"/>
      <c r="AY109" s="63"/>
      <c r="AZ109" s="63"/>
      <c r="BA109" s="65"/>
    </row>
  </sheetData>
  <mergeCells count="9">
    <mergeCell ref="AK1:AO1"/>
    <mergeCell ref="AQ1:AU1"/>
    <mergeCell ref="AW1:BA1"/>
    <mergeCell ref="AE1:AI1"/>
    <mergeCell ref="A1:E1"/>
    <mergeCell ref="G1:K1"/>
    <mergeCell ref="M1:Q1"/>
    <mergeCell ref="S1:W1"/>
    <mergeCell ref="Y1:AC1"/>
  </mergeCells>
  <phoneticPr fontId="1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2A6992-7896-4F7B-941B-0CECE43EBD71}">
          <x14:formula1>
            <xm:f>'Cost Master List'!$B$2:$B$74</xm:f>
          </x14:formula1>
          <xm:sqref>B3:B7 AF15:AF19 AF3:AF7 Z3:Z7 T3:T7 N3:N7 B99:B103 B87:B91 B75:B79 B63:B67 B51:B55 B39:B43 H27:H31 B27:B31 H15:H19 H3:H7 B15:B19 N15:N19 N27:N31 H39:H43 H51:H55 N39:N43 N51:N55 T15:T19 T27:T31 T39:T43 T51:T55 H63:H67 N63:N67 H75:H79 N75:N79 H87:H91 N87:N91 H99:H103 N99:N103 T63:T67 T75:T79 T87:T91 T99:T103 Z15:Z19 Z27:Z31 Z39:Z43 Z51:Z55 Z63:Z67 Z75:Z79 Z87:Z91 Z99:Z103 AF27:AF31 AF39:AF43 AF51:AF55 AF63:AF67 AF75:AF79 AF87:AF91 AF99:AF103 AL3:AL7 AR3:AR7 AX3:AX7 AL15:AL19 AR15:AR19 AX15:AX19 AL27:AL31 AR27:AR31 AX27:AX31 AL39:AL43 AR39:AR43 AX39:AX43 AL51:AL55 AR51:AR55 AX51:AX55 AL63:AL67 AR63:AR67 AX63:AX67 AL75:AL79 AR75:AR79 AX75:AX79 AL87:AL91 AR87:AR91 AX87:AX91 AL99:AL103 AR99:AR103 AX99:AX103</xm:sqref>
        </x14:dataValidation>
        <x14:dataValidation type="list" allowBlank="1" showInputMessage="1" showErrorMessage="1" xr:uid="{27DBA8B9-42DB-434F-A5AC-BB05A8A38D81}">
          <x14:formula1>
            <xm:f>'Cost Master List'!$B$84:$B$98</xm:f>
          </x14:formula1>
          <xm:sqref>B8:B10 AF20:AF22 AF8:AF10 Z8:Z10 T8:T10 N8:N10 B104:B106 B92:B94 B80:B82 B68:B70 B56:B58 B44:B46 H32:H34 B32:B34 H20:H22 H8:H10 B20:B22 N20:N22 N32:N34 H44:H46 H56:H58 N44:N46 N56:N58 T20:T22 T32:T34 T44:T46 T56:T58 H68:H70 N68:N70 H80:H82 N80:N82 H92:H94 N92:N94 H104:H106 N104:N106 T68:T70 T80:T82 T92:T94 T104:T106 Z20:Z22 Z32:Z34 Z44:Z46 Z56:Z58 Z68:Z70 Z80:Z82 Z92:Z94 Z104:Z106 AF32:AF34 AF44:AF46 AF56:AF58 AF68:AF70 AF80:AF82 AF92:AF94 AF104:AF106 AL8:AL10 AR8:AR10 AX8:AX10 AL20:AL22 AR20:AR22 AX20:AX22 AL32:AL34 AR32:AR34 AX32:AX34 AL44:AL46 AR44:AR46 AX44:AX46 AL56:AL58 AR56:AR58 AX56:AX58 AL68:AL70 AR68:AR70 AX68:AX70 AL80:AL82 AR80:AR82 AX80:AX82 AL92:AL94 AR92:AR94 AX92:AX94 AL104:AL106 AR104:AR106 AX104:AX106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289B8-71DD-48BA-9D70-69C6C3B55C64}">
  <dimension ref="A1:AC77"/>
  <sheetViews>
    <sheetView topLeftCell="A21" zoomScale="90" zoomScaleNormal="90" workbookViewId="0">
      <pane xSplit="1" topLeftCell="B1" activePane="topRight" state="frozen"/>
      <selection pane="topRight" activeCell="E29" sqref="E29"/>
    </sheetView>
  </sheetViews>
  <sheetFormatPr defaultRowHeight="15" x14ac:dyDescent="0.25"/>
  <cols>
    <col min="1" max="2" width="16.5703125" bestFit="1" customWidth="1"/>
    <col min="3" max="3" width="28" bestFit="1" customWidth="1"/>
    <col min="4" max="4" width="39.5703125" bestFit="1" customWidth="1"/>
    <col min="5" max="5" width="18" bestFit="1" customWidth="1"/>
    <col min="6" max="6" width="22.28515625" bestFit="1" customWidth="1"/>
    <col min="8" max="8" width="12" customWidth="1"/>
    <col min="9" max="9" width="19.85546875" bestFit="1" customWidth="1"/>
    <col min="10" max="10" width="15.7109375" bestFit="1" customWidth="1"/>
    <col min="11" max="11" width="15.7109375" customWidth="1"/>
    <col min="12" max="12" width="22.140625" bestFit="1" customWidth="1"/>
    <col min="13" max="13" width="10.85546875" bestFit="1" customWidth="1"/>
    <col min="14" max="14" width="10.140625" bestFit="1" customWidth="1"/>
    <col min="15" max="15" width="13.85546875" bestFit="1" customWidth="1"/>
    <col min="16" max="16" width="16.85546875" bestFit="1" customWidth="1"/>
    <col min="17" max="17" width="51.140625" customWidth="1"/>
    <col min="18" max="18" width="13.42578125" bestFit="1" customWidth="1"/>
    <col min="20" max="20" width="13.28515625" bestFit="1" customWidth="1"/>
    <col min="21" max="21" width="14.28515625" bestFit="1" customWidth="1"/>
    <col min="26" max="26" width="39.5703125" hidden="1" customWidth="1"/>
    <col min="27" max="28" width="24" hidden="1" customWidth="1"/>
    <col min="29" max="29" width="0" hidden="1" customWidth="1"/>
  </cols>
  <sheetData>
    <row r="1" spans="1:29" ht="15.75" thickBot="1" x14ac:dyDescent="0.3">
      <c r="A1" s="7" t="s">
        <v>0</v>
      </c>
      <c r="B1" s="7" t="s">
        <v>285</v>
      </c>
      <c r="C1" s="7" t="s">
        <v>333</v>
      </c>
      <c r="D1" s="7" t="s">
        <v>216</v>
      </c>
      <c r="E1" s="7" t="s">
        <v>299</v>
      </c>
      <c r="F1" s="7" t="s">
        <v>386</v>
      </c>
      <c r="G1" s="7" t="s">
        <v>21</v>
      </c>
      <c r="H1" s="7" t="s">
        <v>217</v>
      </c>
      <c r="I1" s="7" t="s">
        <v>223</v>
      </c>
      <c r="J1" s="7" t="s">
        <v>224</v>
      </c>
      <c r="K1" s="7" t="s">
        <v>248</v>
      </c>
      <c r="L1" s="7" t="s">
        <v>347</v>
      </c>
      <c r="M1" s="7" t="s">
        <v>218</v>
      </c>
      <c r="N1" s="7" t="s">
        <v>12</v>
      </c>
      <c r="O1" s="7" t="s">
        <v>225</v>
      </c>
      <c r="P1" s="7" t="s">
        <v>238</v>
      </c>
      <c r="Q1" s="7" t="s">
        <v>222</v>
      </c>
      <c r="R1" s="7" t="s">
        <v>245</v>
      </c>
      <c r="Z1" t="str" cm="1">
        <f t="array" ref="Z1:Z77">_xlfn._xlws.SORT(_xlfn.UNIQUE(_xlfn._xlws.FILTER('Cost Master List'!$B:$B,'Cost Master List'!$B:$B&lt;&gt;"")))</f>
        <v>1 Gallon Jug &amp; Box Combo</v>
      </c>
      <c r="AA1" t="str" cm="1">
        <f t="array" ref="AA1:AA21">_xlfn.LET(
  _xlpm.rng,'Manufactured Items Models'!$B:$BA,
  _xlpm.rows,{12;24;36;48;60;72;84;96;108},
  _xlpm.itemCols,{1,7,13,19,25,31,37,43,49},
  _xlpm.items,_xlfn.TOCOL(INDEX(_xlpm.rng,_xlpm.rows,_xlpm.itemCols),1),
  _xlfn._xlws.FILTER(_xlpm.items,_xlpm.items&lt;&gt;"")
)</f>
        <v>Annatto Extract P2401 (8)</v>
      </c>
      <c r="AB1" t="str" cm="1">
        <f t="array" ref="AB1:AB21">_xlfn.LET(
  _xlpm.rng,'Manufactured Items Models'!$B:$BA,
  _xlpm.rows,{12;24;36;48;60;72;84;96;108},
  _xlpm.itemCols,{1,7,13,19,25,31,37,43,49},
  _xlpm.priceCols,_xlpm.itemCols+3,
  _xlpm.items,_xlfn.TOCOL(INDEX(_xlpm.rng,_xlpm.rows,_xlpm.itemCols),1),
  _xlpm.prices,_xlfn.TOCOL(INDEX(_xlpm.rng,_xlpm.rows,_xlpm.priceCols),1),
  _xlpm.mask,_xlpm.items&lt;&gt;"",
  _xlfn._xlws.FILTER(_xlpm.items,_xlpm.mask)
)</f>
        <v>Annatto Extract P2401 (8)</v>
      </c>
      <c r="AC1" t="e" cm="1">
        <f t="array" ref="AC1">_xlfn.LET(
  _xlpm.rng,'Manufactured Items Models'!$B:$BA,
  _xlpm.rows,{12;24;36;48;60;72;84;96;108},
  _xlpm.itemCols,{1,7,13,19,25,31,37,43,49},
  _xlpm.priceCols,_xlpm.itemCols+3,
  _xlpm.items,_xlfn.TOCOL(INDEX(_xlpm.rng,_xlpm.rows,_xlpm.itemCols),1),
  _xlpm.prices,_xlfn.TOCOL(INDEX(_xlpm.rng,_xlpm.rows,_xlpm.priceCols),1),
  _xlpm.mask,_xlpm.items&lt;&gt;"",
  _xlfn._xlws.FILTER(_xlpm.prices,_xlpm.mask)
)</f>
        <v>#VALUE!</v>
      </c>
    </row>
    <row r="2" spans="1:29" x14ac:dyDescent="0.25">
      <c r="A2" s="11" t="s">
        <v>1</v>
      </c>
      <c r="B2" s="86">
        <v>0.5</v>
      </c>
      <c r="C2" s="11" t="s">
        <v>335</v>
      </c>
      <c r="D2" s="11" t="s">
        <v>332</v>
      </c>
      <c r="E2" s="76" cm="1">
        <f t="array" ref="E2">IF(LOWER(TRIM($C2))="distributed",_xlfn.XLOOKUP($D2,'Cost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2),_xlpm.hit,SUMPRODUCT((_xlpm.norm(_xlpm.items)=_xlpm.needle)*_xlpm.prices),IF(_xlpm.hit=0,"",_xlpm.hit)))</f>
        <v>3.7782220972321765</v>
      </c>
      <c r="F2" s="78">
        <v>0</v>
      </c>
      <c r="G2" s="86">
        <v>0.28585906215350626</v>
      </c>
      <c r="H2" s="76">
        <f>IF(OR(E2="",G2=""),0,(E2+F2)/(1-G2))</f>
        <v>5.2905832686548964</v>
      </c>
      <c r="I2" s="11">
        <v>16000</v>
      </c>
      <c r="J2" s="76">
        <f t="shared" ref="J2:J43" si="0">+I2*H2</f>
        <v>84649.332298478344</v>
      </c>
      <c r="K2" s="76">
        <f t="shared" ref="K2:K43" si="1">+J2*G2</f>
        <v>24197.778742763527</v>
      </c>
      <c r="L2" s="86">
        <v>0.9</v>
      </c>
      <c r="M2" s="11" t="s">
        <v>219</v>
      </c>
      <c r="N2" s="11"/>
      <c r="O2" s="11" t="s">
        <v>227</v>
      </c>
      <c r="P2" s="11" t="s">
        <v>239</v>
      </c>
      <c r="Q2" s="11"/>
      <c r="R2" s="11"/>
      <c r="T2" s="88" t="s">
        <v>345</v>
      </c>
      <c r="U2" s="90">
        <f>+SUM(J2:J1048576)</f>
        <v>6479764.8805398066</v>
      </c>
      <c r="Z2" t="str">
        <v>12x12x16 box</v>
      </c>
      <c r="AA2" t="str">
        <v>Natural Red D1303 (40)</v>
      </c>
      <c r="AB2" t="str">
        <v>Natural Red D1303 (40)</v>
      </c>
    </row>
    <row r="3" spans="1:29" x14ac:dyDescent="0.25">
      <c r="A3" s="11" t="s">
        <v>1</v>
      </c>
      <c r="B3" s="86">
        <v>0.5</v>
      </c>
      <c r="C3" s="11" t="s">
        <v>334</v>
      </c>
      <c r="D3" s="11" t="s">
        <v>167</v>
      </c>
      <c r="E3" s="76" cm="1">
        <f t="array" ref="E3">IF(LOWER(TRIM($C3))="distributed",_xlfn.XLOOKUP($D3,'Cost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3),_xlpm.hit,SUMPRODUCT((_xlpm.norm(_xlpm.items)=_xlpm.needle)*_xlpm.prices),IF(_xlpm.hit=0,"",_xlpm.hit)))</f>
        <v>26.095200079832356</v>
      </c>
      <c r="F3" s="78">
        <v>0</v>
      </c>
      <c r="G3" s="86">
        <v>0.17811387035090312</v>
      </c>
      <c r="H3" s="76">
        <f t="shared" ref="H3:H49" si="2">IF(OR(E3="",G3=""),0,(E3+F3)/(1-G3))</f>
        <v>31.75038382868642</v>
      </c>
      <c r="I3" s="11">
        <v>1000</v>
      </c>
      <c r="J3" s="76">
        <f t="shared" si="0"/>
        <v>31750.383828686419</v>
      </c>
      <c r="K3" s="76">
        <f t="shared" si="1"/>
        <v>5655.1837488540641</v>
      </c>
      <c r="L3" s="86">
        <v>1</v>
      </c>
      <c r="M3" s="11" t="s">
        <v>219</v>
      </c>
      <c r="N3" s="11"/>
      <c r="O3" s="11" t="s">
        <v>227</v>
      </c>
      <c r="P3" s="11" t="s">
        <v>242</v>
      </c>
      <c r="Q3" s="11"/>
      <c r="R3" s="11"/>
      <c r="T3" s="53" t="s">
        <v>248</v>
      </c>
      <c r="U3" s="91">
        <f>+SUM(K2:K1048576)</f>
        <v>2192614.6502373824</v>
      </c>
      <c r="Z3" t="str">
        <v>15x15x15 box</v>
      </c>
      <c r="AA3" t="str">
        <v>Natural BP N1399 (11)</v>
      </c>
      <c r="AB3" t="str">
        <v>Natural BP N1399 (11)</v>
      </c>
    </row>
    <row r="4" spans="1:29" ht="15.75" thickBot="1" x14ac:dyDescent="0.3">
      <c r="A4" s="11" t="s">
        <v>2</v>
      </c>
      <c r="B4" s="87">
        <v>0.1</v>
      </c>
      <c r="C4" s="11" t="s">
        <v>334</v>
      </c>
      <c r="D4" s="11" t="s">
        <v>306</v>
      </c>
      <c r="E4" s="76" cm="1">
        <f t="array" ref="E4">IF(LOWER(TRIM($C4))="distributed",_xlfn.XLOOKUP($D4,'Cost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4),_xlpm.hit,SUMPRODUCT((_xlpm.norm(_xlpm.items)=_xlpm.needle)*_xlpm.prices),IF(_xlpm.hit=0,"",_xlpm.hit)))</f>
        <v>20.375506890076295</v>
      </c>
      <c r="F4" s="78">
        <v>0</v>
      </c>
      <c r="G4" s="86"/>
      <c r="H4" s="76">
        <f t="shared" si="2"/>
        <v>0</v>
      </c>
      <c r="I4" s="11">
        <v>1600</v>
      </c>
      <c r="J4" s="76">
        <f t="shared" si="0"/>
        <v>0</v>
      </c>
      <c r="K4" s="76">
        <f t="shared" si="1"/>
        <v>0</v>
      </c>
      <c r="L4" s="86">
        <v>0.5</v>
      </c>
      <c r="M4" s="11" t="s">
        <v>219</v>
      </c>
      <c r="N4" s="11"/>
      <c r="O4" s="11" t="s">
        <v>231</v>
      </c>
      <c r="P4" s="11" t="s">
        <v>240</v>
      </c>
      <c r="Q4" s="11"/>
      <c r="R4" s="11"/>
      <c r="T4" s="89" t="s">
        <v>346</v>
      </c>
      <c r="U4" s="92">
        <f>+U3/U2</f>
        <v>0.33837873605912738</v>
      </c>
      <c r="Z4" t="str">
        <v>16x12x10 box</v>
      </c>
      <c r="AA4" t="str">
        <v>Natural Red A1320 (44)</v>
      </c>
      <c r="AB4" t="str">
        <v>Natural Red A1320 (44)</v>
      </c>
    </row>
    <row r="5" spans="1:29" x14ac:dyDescent="0.25">
      <c r="A5" s="11" t="s">
        <v>2</v>
      </c>
      <c r="B5" s="87">
        <v>0.6</v>
      </c>
      <c r="C5" s="11" t="s">
        <v>335</v>
      </c>
      <c r="D5" s="11" t="s">
        <v>343</v>
      </c>
      <c r="E5" s="76" cm="1">
        <f t="array" ref="E5">IF(LOWER(TRIM($C5))="distributed",_xlfn.XLOOKUP($D5,'Cost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5),_xlpm.hit,SUMPRODUCT((_xlpm.norm(_xlpm.items)=_xlpm.needle)*_xlpm.prices),IF(_xlpm.hit=0,"",_xlpm.hit)))</f>
        <v>18.115125808529367</v>
      </c>
      <c r="F5" s="78">
        <v>0</v>
      </c>
      <c r="G5" s="86">
        <v>0.47278461571274583</v>
      </c>
      <c r="H5" s="76">
        <f t="shared" si="2"/>
        <v>34.360009871523985</v>
      </c>
      <c r="I5" s="11">
        <v>1000</v>
      </c>
      <c r="J5" s="76">
        <f t="shared" si="0"/>
        <v>34360.009871523987</v>
      </c>
      <c r="K5" s="76">
        <f t="shared" si="1"/>
        <v>16244.884062994621</v>
      </c>
      <c r="L5" s="86">
        <v>1</v>
      </c>
      <c r="M5" s="11" t="s">
        <v>219</v>
      </c>
      <c r="N5" s="11"/>
      <c r="O5" s="11" t="s">
        <v>228</v>
      </c>
      <c r="P5" s="11" t="s">
        <v>241</v>
      </c>
      <c r="Q5" s="11"/>
      <c r="R5" s="11"/>
      <c r="Z5" t="str">
        <v>30 Gal Fiber Drums</v>
      </c>
      <c r="AA5" t="str">
        <v>Natural Red E1430 (44)</v>
      </c>
      <c r="AB5" t="str">
        <v>Natural Red E1430 (44)</v>
      </c>
    </row>
    <row r="6" spans="1:29" x14ac:dyDescent="0.25">
      <c r="A6" s="11" t="s">
        <v>2</v>
      </c>
      <c r="B6" s="87">
        <v>0</v>
      </c>
      <c r="C6" s="11" t="s">
        <v>335</v>
      </c>
      <c r="D6" s="11" t="s">
        <v>340</v>
      </c>
      <c r="E6" s="76" cm="1">
        <f t="array" ref="E6">IF(LOWER(TRIM($C6))="distributed",_xlfn.XLOOKUP($D6,'Cost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6),_xlpm.hit,SUMPRODUCT((_xlpm.norm(_xlpm.items)=_xlpm.needle)*_xlpm.prices),IF(_xlpm.hit=0,"",_xlpm.hit)))</f>
        <v>39.444964964483681</v>
      </c>
      <c r="F6" s="78">
        <v>0</v>
      </c>
      <c r="G6" s="86">
        <v>0.62144819318456468</v>
      </c>
      <c r="H6" s="76">
        <f t="shared" si="2"/>
        <v>104.1996478535242</v>
      </c>
      <c r="I6" s="11"/>
      <c r="J6" s="76">
        <f t="shared" si="0"/>
        <v>0</v>
      </c>
      <c r="K6" s="76">
        <f t="shared" si="1"/>
        <v>0</v>
      </c>
      <c r="L6" s="86">
        <v>0</v>
      </c>
      <c r="M6" s="11" t="s">
        <v>219</v>
      </c>
      <c r="N6" s="11"/>
      <c r="O6" s="11"/>
      <c r="P6" s="11"/>
      <c r="Q6" s="11"/>
      <c r="R6" s="11"/>
      <c r="Z6" t="str">
        <v>5 Gallon Pails</v>
      </c>
      <c r="AA6" t="str">
        <v>Natural Blue L1355 (11)</v>
      </c>
      <c r="AB6" t="str">
        <v>Natural Blue L1355 (11)</v>
      </c>
    </row>
    <row r="7" spans="1:29" x14ac:dyDescent="0.25">
      <c r="A7" s="11" t="s">
        <v>215</v>
      </c>
      <c r="B7" s="87">
        <v>1</v>
      </c>
      <c r="C7" s="11" t="s">
        <v>335</v>
      </c>
      <c r="D7" s="11" t="s">
        <v>339</v>
      </c>
      <c r="E7" s="76" cm="1">
        <f t="array" ref="E7">IF(LOWER(TRIM($C7))="distributed",_xlfn.XLOOKUP($D7,'Cost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7),_xlpm.hit,SUMPRODUCT((_xlpm.norm(_xlpm.items)=_xlpm.needle)*_xlpm.prices),IF(_xlpm.hit=0,"",_xlpm.hit)))</f>
        <v>7.60970080739538</v>
      </c>
      <c r="F7" s="78">
        <v>0</v>
      </c>
      <c r="G7" s="86">
        <v>0.16832757214185637</v>
      </c>
      <c r="H7" s="76">
        <f t="shared" si="2"/>
        <v>9.1498774667727094</v>
      </c>
      <c r="I7" s="11">
        <v>47000</v>
      </c>
      <c r="J7" s="76">
        <f t="shared" si="0"/>
        <v>430044.24093831732</v>
      </c>
      <c r="K7" s="76">
        <f t="shared" si="1"/>
        <v>72388.302990734475</v>
      </c>
      <c r="L7" s="86">
        <v>1</v>
      </c>
      <c r="M7" s="11" t="s">
        <v>220</v>
      </c>
      <c r="N7" s="11"/>
      <c r="O7" s="11" t="s">
        <v>226</v>
      </c>
      <c r="P7" s="11" t="s">
        <v>239</v>
      </c>
      <c r="Q7" s="11"/>
      <c r="R7" s="11"/>
      <c r="Z7" t="str">
        <v>Amaranth (Vidhi)</v>
      </c>
      <c r="AA7" t="str">
        <v>Natural Red C1409 (8)</v>
      </c>
      <c r="AB7" t="str">
        <v>Natural Red C1409 (8)</v>
      </c>
    </row>
    <row r="8" spans="1:29" x14ac:dyDescent="0.25">
      <c r="A8" s="11" t="s">
        <v>2</v>
      </c>
      <c r="B8" s="87">
        <v>1</v>
      </c>
      <c r="C8" s="11" t="s">
        <v>334</v>
      </c>
      <c r="D8" s="11" t="s">
        <v>100</v>
      </c>
      <c r="E8" s="76" cm="1">
        <f t="array" ref="E8">IF(LOWER(TRIM($C8))="distributed",_xlfn.XLOOKUP($D8,'Cost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8),_xlpm.hit,SUMPRODUCT((_xlpm.norm(_xlpm.items)=_xlpm.needle)*_xlpm.prices),IF(_xlpm.hit=0,"",_xlpm.hit)))</f>
        <v>21.384184122433801</v>
      </c>
      <c r="F8" s="78">
        <v>0</v>
      </c>
      <c r="G8" s="86">
        <v>0.34585447989139634</v>
      </c>
      <c r="H8" s="76">
        <f t="shared" si="2"/>
        <v>32.690255402014401</v>
      </c>
      <c r="I8" s="11">
        <v>1000</v>
      </c>
      <c r="J8" s="76">
        <f t="shared" si="0"/>
        <v>32690.255402014402</v>
      </c>
      <c r="K8" s="76">
        <f t="shared" si="1"/>
        <v>11306.071279580601</v>
      </c>
      <c r="L8" s="86">
        <v>1</v>
      </c>
      <c r="M8" s="11" t="s">
        <v>219</v>
      </c>
      <c r="N8" s="11"/>
      <c r="O8" s="11" t="s">
        <v>226</v>
      </c>
      <c r="P8" s="11" t="s">
        <v>244</v>
      </c>
      <c r="Q8" s="11"/>
      <c r="R8" s="11"/>
      <c r="Z8" t="str">
        <v>Annatto Extract P1315 (IFF)</v>
      </c>
      <c r="AA8" t="str">
        <v>Natural Red B1416 (8)</v>
      </c>
      <c r="AB8" t="str">
        <v>Natural Red B1416 (8)</v>
      </c>
    </row>
    <row r="9" spans="1:29" x14ac:dyDescent="0.25">
      <c r="A9" s="11" t="s">
        <v>3</v>
      </c>
      <c r="B9" s="87">
        <v>0.6</v>
      </c>
      <c r="C9" s="11" t="s">
        <v>334</v>
      </c>
      <c r="D9" s="11" t="s">
        <v>159</v>
      </c>
      <c r="E9" s="76" cm="1">
        <f t="array" ref="E9">IF(LOWER(TRIM($C9))="distributed",_xlfn.XLOOKUP($D9,'Cost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9),_xlpm.hit,SUMPRODUCT((_xlpm.norm(_xlpm.items)=_xlpm.needle)*_xlpm.prices),IF(_xlpm.hit=0,"",_xlpm.hit)))</f>
        <v>34.906242345619653</v>
      </c>
      <c r="F9" s="78">
        <v>0</v>
      </c>
      <c r="G9" s="86">
        <v>0.34755500518114957</v>
      </c>
      <c r="H9" s="76">
        <f t="shared" si="2"/>
        <v>53.500666911103018</v>
      </c>
      <c r="I9" s="11">
        <v>3000</v>
      </c>
      <c r="J9" s="76">
        <f t="shared" si="0"/>
        <v>160502.00073330905</v>
      </c>
      <c r="K9" s="76">
        <f t="shared" si="1"/>
        <v>55783.273696450095</v>
      </c>
      <c r="L9" s="86">
        <v>1</v>
      </c>
      <c r="M9" s="11" t="s">
        <v>219</v>
      </c>
      <c r="N9" s="11"/>
      <c r="O9" s="11" t="s">
        <v>227</v>
      </c>
      <c r="P9" s="11" t="s">
        <v>244</v>
      </c>
      <c r="Q9" s="11"/>
      <c r="R9" s="11"/>
      <c r="Z9" t="str">
        <v>Annatto Extract P1315 (Imbarex)</v>
      </c>
      <c r="AA9" t="str">
        <v>Natural Yellow G3401-N (44)</v>
      </c>
      <c r="AB9" t="str">
        <v>Natural Yellow G3401-N (44)</v>
      </c>
    </row>
    <row r="10" spans="1:29" x14ac:dyDescent="0.25">
      <c r="A10" s="11" t="s">
        <v>3</v>
      </c>
      <c r="B10" s="87">
        <v>0.5</v>
      </c>
      <c r="C10" s="11" t="s">
        <v>334</v>
      </c>
      <c r="D10" s="11" t="s">
        <v>302</v>
      </c>
      <c r="E10" s="76" cm="1">
        <f t="array" ref="E10">IF(LOWER(TRIM($C10))="distributed",_xlfn.XLOOKUP($D10,'Cost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10),_xlpm.hit,SUMPRODUCT((_xlpm.norm(_xlpm.items)=_xlpm.needle)*_xlpm.prices),IF(_xlpm.hit=0,"",_xlpm.hit)))</f>
        <v>7.3221235405648137</v>
      </c>
      <c r="F10" s="78">
        <v>0</v>
      </c>
      <c r="G10" s="86">
        <v>0.30133023806704107</v>
      </c>
      <c r="H10" s="76">
        <f t="shared" si="2"/>
        <v>10.480092225985601</v>
      </c>
      <c r="I10" s="11">
        <v>6000</v>
      </c>
      <c r="J10" s="76">
        <f t="shared" si="0"/>
        <v>62880.553355913602</v>
      </c>
      <c r="K10" s="76">
        <f t="shared" si="1"/>
        <v>18947.812112524723</v>
      </c>
      <c r="L10" s="86">
        <v>1</v>
      </c>
      <c r="M10" s="11" t="s">
        <v>219</v>
      </c>
      <c r="N10" s="11"/>
      <c r="O10" s="11" t="s">
        <v>227</v>
      </c>
      <c r="P10" s="11" t="s">
        <v>240</v>
      </c>
      <c r="Q10" s="11"/>
      <c r="R10" s="11"/>
      <c r="Z10" t="str">
        <v>Annatto Extract P2404 (Cyber Colors)</v>
      </c>
      <c r="AA10" t="str">
        <v>Annatto Extract P2401 (40)</v>
      </c>
      <c r="AB10" t="str">
        <v>Annatto Extract P2401 (40)</v>
      </c>
    </row>
    <row r="11" spans="1:29" x14ac:dyDescent="0.25">
      <c r="A11" s="11" t="s">
        <v>3</v>
      </c>
      <c r="B11" s="87">
        <v>0.1</v>
      </c>
      <c r="C11" s="11" t="s">
        <v>334</v>
      </c>
      <c r="D11" s="11" t="s">
        <v>162</v>
      </c>
      <c r="E11" s="76" cm="1">
        <f t="array" ref="E11">IF(LOWER(TRIM($C11))="distributed",_xlfn.XLOOKUP($D11,'Cost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11),_xlpm.hit,SUMPRODUCT((_xlpm.norm(_xlpm.items)=_xlpm.needle)*_xlpm.prices),IF(_xlpm.hit=0,"",_xlpm.hit)))</f>
        <v>11.455715724251798</v>
      </c>
      <c r="F11" s="78">
        <v>0</v>
      </c>
      <c r="G11" s="86">
        <v>0.24633546497809503</v>
      </c>
      <c r="H11" s="76">
        <f t="shared" si="2"/>
        <v>15.200019626661669</v>
      </c>
      <c r="I11" s="11">
        <v>20000</v>
      </c>
      <c r="J11" s="76">
        <f t="shared" si="0"/>
        <v>304000.39253323339</v>
      </c>
      <c r="K11" s="76">
        <f t="shared" si="1"/>
        <v>74886.078048197451</v>
      </c>
      <c r="L11" s="86">
        <v>1</v>
      </c>
      <c r="M11" s="11" t="s">
        <v>219</v>
      </c>
      <c r="N11" s="11"/>
      <c r="O11" s="11" t="s">
        <v>230</v>
      </c>
      <c r="P11" s="11" t="s">
        <v>244</v>
      </c>
      <c r="Q11" s="11"/>
      <c r="R11" s="11"/>
      <c r="Z11" t="str">
        <v>Annatto Extract P2408 (Cyber Colors)</v>
      </c>
      <c r="AA11" t="str">
        <v>Natural Red D1305 (40)</v>
      </c>
      <c r="AB11" t="str">
        <v>Natural Red D1305 (40)</v>
      </c>
    </row>
    <row r="12" spans="1:29" x14ac:dyDescent="0.25">
      <c r="A12" s="11" t="s">
        <v>4</v>
      </c>
      <c r="B12" s="87">
        <v>0.6</v>
      </c>
      <c r="C12" s="11" t="s">
        <v>334</v>
      </c>
      <c r="D12" s="11"/>
      <c r="E12" s="76" cm="1">
        <f t="array" ref="E12">IF(LOWER(TRIM($C12))="distributed",_xlfn.XLOOKUP($D12,'Cost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12),_xlpm.hit,SUMPRODUCT((_xlpm.norm(_xlpm.items)=_xlpm.needle)*_xlpm.prices),IF(_xlpm.hit=0,"",_xlpm.hit)))</f>
        <v>0</v>
      </c>
      <c r="F12" s="78">
        <v>0</v>
      </c>
      <c r="G12" s="86"/>
      <c r="H12" s="76">
        <f t="shared" si="2"/>
        <v>0</v>
      </c>
      <c r="I12" s="11">
        <v>13000</v>
      </c>
      <c r="J12" s="76">
        <f t="shared" si="0"/>
        <v>0</v>
      </c>
      <c r="K12" s="76">
        <f t="shared" si="1"/>
        <v>0</v>
      </c>
      <c r="L12" s="86"/>
      <c r="M12" s="11" t="s">
        <v>219</v>
      </c>
      <c r="N12" s="11"/>
      <c r="O12" s="11" t="s">
        <v>228</v>
      </c>
      <c r="P12" s="11" t="s">
        <v>239</v>
      </c>
      <c r="Q12" s="11"/>
      <c r="R12" s="11"/>
      <c r="Z12" t="str">
        <v>Annatto Extract WS5 (Cyber Colors)</v>
      </c>
      <c r="AA12" t="str">
        <v>Natural Blue L1405 (44)</v>
      </c>
      <c r="AB12" t="str">
        <v>Natural Blue L1405 (44)</v>
      </c>
    </row>
    <row r="13" spans="1:29" x14ac:dyDescent="0.25">
      <c r="A13" s="11" t="s">
        <v>4</v>
      </c>
      <c r="B13" s="87">
        <v>0.6</v>
      </c>
      <c r="C13" s="11" t="s">
        <v>334</v>
      </c>
      <c r="D13" s="11" t="s">
        <v>318</v>
      </c>
      <c r="E13" s="76" cm="1">
        <f t="array" ref="E13">IF(LOWER(TRIM($C13))="distributed",_xlfn.XLOOKUP($D13,'Cost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13),_xlpm.hit,SUMPRODUCT((_xlpm.norm(_xlpm.items)=_xlpm.needle)*_xlpm.prices),IF(_xlpm.hit=0,"",_xlpm.hit)))</f>
        <v>1.0432636917019713</v>
      </c>
      <c r="F13" s="78">
        <v>0</v>
      </c>
      <c r="G13" s="86">
        <v>0.25489345621083576</v>
      </c>
      <c r="H13" s="76">
        <f t="shared" si="2"/>
        <v>1.4001537100943431</v>
      </c>
      <c r="I13" s="11">
        <v>75000</v>
      </c>
      <c r="J13" s="76">
        <f t="shared" si="0"/>
        <v>105011.52825707573</v>
      </c>
      <c r="K13" s="76">
        <f t="shared" si="1"/>
        <v>26766.751379427875</v>
      </c>
      <c r="L13" s="86">
        <v>0.7</v>
      </c>
      <c r="M13" s="11" t="s">
        <v>219</v>
      </c>
      <c r="N13" s="11"/>
      <c r="O13" s="11" t="s">
        <v>228</v>
      </c>
      <c r="P13" s="11" t="s">
        <v>239</v>
      </c>
      <c r="Q13" s="11"/>
      <c r="R13" s="11"/>
      <c r="Z13" t="str">
        <v>Ascorbic Acid (Brenntag)</v>
      </c>
      <c r="AA13" t="str">
        <v>Natural Red C1309 (44)</v>
      </c>
      <c r="AB13" t="str">
        <v>Natural Red C1309 (44)</v>
      </c>
    </row>
    <row r="14" spans="1:29" x14ac:dyDescent="0.25">
      <c r="A14" s="11" t="s">
        <v>4</v>
      </c>
      <c r="B14" s="87">
        <v>0.6</v>
      </c>
      <c r="C14" s="11" t="s">
        <v>335</v>
      </c>
      <c r="D14" s="11" t="s">
        <v>326</v>
      </c>
      <c r="E14" s="76" cm="1">
        <f t="array" ref="E14">IF(LOWER(TRIM($C14))="distributed",_xlfn.XLOOKUP($D14,'Cost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14),_xlpm.hit,SUMPRODUCT((_xlpm.norm(_xlpm.items)=_xlpm.needle)*_xlpm.prices),IF(_xlpm.hit=0,"",_xlpm.hit)))</f>
        <v>1.9418670791338191</v>
      </c>
      <c r="F14" s="78">
        <v>0</v>
      </c>
      <c r="G14" s="86">
        <v>0.64166979724378281</v>
      </c>
      <c r="H14" s="76">
        <f t="shared" si="2"/>
        <v>5.4192112866771929</v>
      </c>
      <c r="I14" s="11">
        <v>50000</v>
      </c>
      <c r="J14" s="76">
        <f t="shared" si="0"/>
        <v>270960.56433385966</v>
      </c>
      <c r="K14" s="76">
        <f t="shared" si="1"/>
        <v>173867.2103771687</v>
      </c>
      <c r="L14" s="86">
        <v>0.8</v>
      </c>
      <c r="M14" s="11" t="s">
        <v>219</v>
      </c>
      <c r="N14" s="11"/>
      <c r="O14" s="11" t="s">
        <v>228</v>
      </c>
      <c r="P14" s="11" t="s">
        <v>239</v>
      </c>
      <c r="Q14" s="11"/>
      <c r="R14" s="11"/>
      <c r="Z14" t="str">
        <v>Beet Powder 0.8% (Nutracean)</v>
      </c>
      <c r="AA14" t="str">
        <v>Annatto Extract P2404</v>
      </c>
      <c r="AB14" t="str">
        <v>Annatto Extract P2404</v>
      </c>
    </row>
    <row r="15" spans="1:29" x14ac:dyDescent="0.25">
      <c r="A15" s="11" t="s">
        <v>5</v>
      </c>
      <c r="B15" s="87">
        <v>0.85</v>
      </c>
      <c r="C15" s="11" t="s">
        <v>334</v>
      </c>
      <c r="D15" s="11" t="s">
        <v>306</v>
      </c>
      <c r="E15" s="76" cm="1">
        <f t="array" ref="E15">IF(LOWER(TRIM($C15))="distributed",_xlfn.XLOOKUP($D15,'Cost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15),_xlpm.hit,SUMPRODUCT((_xlpm.norm(_xlpm.items)=_xlpm.needle)*_xlpm.prices),IF(_xlpm.hit=0,"",_xlpm.hit)))</f>
        <v>20.375506890076295</v>
      </c>
      <c r="F15" s="78">
        <v>0</v>
      </c>
      <c r="G15" s="86">
        <v>0.3725844449164275</v>
      </c>
      <c r="H15" s="76">
        <f t="shared" si="2"/>
        <v>32.47529763166655</v>
      </c>
      <c r="I15" s="11">
        <v>12000</v>
      </c>
      <c r="J15" s="76">
        <f t="shared" si="0"/>
        <v>389703.57157999859</v>
      </c>
      <c r="K15" s="76">
        <f t="shared" si="1"/>
        <v>145197.48889908305</v>
      </c>
      <c r="L15" s="86">
        <v>1</v>
      </c>
      <c r="M15" s="11" t="s">
        <v>219</v>
      </c>
      <c r="N15" s="11"/>
      <c r="O15" s="11" t="s">
        <v>226</v>
      </c>
      <c r="P15" s="11" t="s">
        <v>244</v>
      </c>
      <c r="Q15" s="11"/>
      <c r="R15" s="11"/>
      <c r="Z15" t="str">
        <v>Beet Powder 2.1% (Nutracean)</v>
      </c>
      <c r="AA15" t="str">
        <v>Natural Red D1307 (40)</v>
      </c>
      <c r="AB15" t="str">
        <v>Natural Red D1307 (40)</v>
      </c>
    </row>
    <row r="16" spans="1:29" x14ac:dyDescent="0.25">
      <c r="A16" s="11" t="s">
        <v>6</v>
      </c>
      <c r="B16" s="87">
        <v>1</v>
      </c>
      <c r="C16" s="11" t="s">
        <v>334</v>
      </c>
      <c r="D16" s="11" t="s">
        <v>310</v>
      </c>
      <c r="E16" s="76" cm="1">
        <f t="array" ref="E16">IF(LOWER(TRIM($C16))="distributed",_xlfn.XLOOKUP($D16,'Cost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16),_xlpm.hit,SUMPRODUCT((_xlpm.norm(_xlpm.items)=_xlpm.needle)*_xlpm.prices),IF(_xlpm.hit=0,"",_xlpm.hit)))</f>
        <v>4.0142972485054118</v>
      </c>
      <c r="F16" s="78">
        <v>0</v>
      </c>
      <c r="G16" s="86">
        <v>0.35</v>
      </c>
      <c r="H16" s="76">
        <f t="shared" si="2"/>
        <v>6.1758419207775566</v>
      </c>
      <c r="I16" s="11">
        <v>2200</v>
      </c>
      <c r="J16" s="76">
        <f t="shared" si="0"/>
        <v>13586.852225710625</v>
      </c>
      <c r="K16" s="76">
        <f t="shared" si="1"/>
        <v>4755.3982789987185</v>
      </c>
      <c r="L16" s="86">
        <v>1</v>
      </c>
      <c r="M16" s="11" t="s">
        <v>219</v>
      </c>
      <c r="N16" s="11"/>
      <c r="O16" s="11" t="s">
        <v>226</v>
      </c>
      <c r="P16" s="11" t="s">
        <v>241</v>
      </c>
      <c r="Q16" s="11"/>
      <c r="R16" s="11"/>
      <c r="Z16" t="str">
        <v>Black Carrot EV100 (Nutracean)</v>
      </c>
      <c r="AA16" t="str">
        <v>Annatto Extract P1411 (8)</v>
      </c>
      <c r="AB16" t="str">
        <v>Annatto Extract P1411 (8)</v>
      </c>
    </row>
    <row r="17" spans="1:28" x14ac:dyDescent="0.25">
      <c r="A17" s="11" t="s">
        <v>6</v>
      </c>
      <c r="B17" s="87">
        <v>1</v>
      </c>
      <c r="C17" s="11" t="s">
        <v>334</v>
      </c>
      <c r="D17" s="11" t="s">
        <v>166</v>
      </c>
      <c r="E17" s="76" cm="1">
        <f t="array" ref="E17">IF(LOWER(TRIM($C17))="distributed",_xlfn.XLOOKUP($D17,'Cost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17),_xlpm.hit,SUMPRODUCT((_xlpm.norm(_xlpm.items)=_xlpm.needle)*_xlpm.prices),IF(_xlpm.hit=0,"",_xlpm.hit)))</f>
        <v>4.4279739819107151</v>
      </c>
      <c r="F17" s="78">
        <v>0</v>
      </c>
      <c r="G17" s="86">
        <v>0.20360337711361934</v>
      </c>
      <c r="H17" s="76">
        <f t="shared" si="2"/>
        <v>5.5600109978648664</v>
      </c>
      <c r="I17" s="11">
        <v>13200</v>
      </c>
      <c r="J17" s="76">
        <f t="shared" si="0"/>
        <v>73392.145171816243</v>
      </c>
      <c r="K17" s="76">
        <f t="shared" si="1"/>
        <v>14942.888610594799</v>
      </c>
      <c r="L17" s="86">
        <v>1</v>
      </c>
      <c r="M17" s="11" t="s">
        <v>219</v>
      </c>
      <c r="N17" s="11"/>
      <c r="O17" s="11" t="s">
        <v>226</v>
      </c>
      <c r="P17" s="11" t="s">
        <v>241</v>
      </c>
      <c r="Q17" s="11"/>
      <c r="R17" s="11"/>
      <c r="Z17" t="str">
        <v>Blue USFDA Poly Bag 32x32x.004</v>
      </c>
      <c r="AA17" t="str">
        <v>Annatto Extract P1411 (44)</v>
      </c>
      <c r="AB17" t="str">
        <v>Annatto Extract P1411 (44)</v>
      </c>
    </row>
    <row r="18" spans="1:28" x14ac:dyDescent="0.25">
      <c r="A18" s="11" t="s">
        <v>6</v>
      </c>
      <c r="B18" s="87">
        <v>1</v>
      </c>
      <c r="C18" s="11" t="s">
        <v>334</v>
      </c>
      <c r="D18" s="11" t="s">
        <v>163</v>
      </c>
      <c r="E18" s="76" cm="1">
        <f t="array" ref="E18">IF(LOWER(TRIM($C18))="distributed",_xlfn.XLOOKUP($D18,'Cost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18),_xlpm.hit,SUMPRODUCT((_xlpm.norm(_xlpm.items)=_xlpm.needle)*_xlpm.prices),IF(_xlpm.hit=0,"",_xlpm.hit)))</f>
        <v>51.563534758824652</v>
      </c>
      <c r="F18" s="78">
        <v>0</v>
      </c>
      <c r="G18" s="86">
        <v>0.17180318480007531</v>
      </c>
      <c r="H18" s="76">
        <f t="shared" si="2"/>
        <v>62.260001261146286</v>
      </c>
      <c r="I18" s="11">
        <v>2640</v>
      </c>
      <c r="J18" s="76">
        <f t="shared" si="0"/>
        <v>164366.40332942619</v>
      </c>
      <c r="K18" s="76">
        <f t="shared" si="1"/>
        <v>28238.67156612912</v>
      </c>
      <c r="L18" s="86">
        <v>1</v>
      </c>
      <c r="M18" s="11" t="s">
        <v>219</v>
      </c>
      <c r="N18" s="11"/>
      <c r="O18" s="11" t="s">
        <v>226</v>
      </c>
      <c r="P18" s="11" t="s">
        <v>241</v>
      </c>
      <c r="Q18" s="11"/>
      <c r="R18" s="11"/>
      <c r="Z18" t="str">
        <v>Blue USFDA Poly Bag 34x40x.004</v>
      </c>
      <c r="AA18" t="str">
        <v>Annatto Extract P1414 (8)</v>
      </c>
      <c r="AB18" t="str">
        <v>Annatto Extract P1414 (8)</v>
      </c>
    </row>
    <row r="19" spans="1:28" x14ac:dyDescent="0.25">
      <c r="A19" s="11" t="s">
        <v>6</v>
      </c>
      <c r="B19" s="87">
        <v>1</v>
      </c>
      <c r="C19" s="11" t="s">
        <v>334</v>
      </c>
      <c r="D19" s="11" t="s">
        <v>309</v>
      </c>
      <c r="E19" s="76" cm="1">
        <f t="array" ref="E19">IF(LOWER(TRIM($C19))="distributed",_xlfn.XLOOKUP($D19,'Cost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19),_xlpm.hit,SUMPRODUCT((_xlpm.norm(_xlpm.items)=_xlpm.needle)*_xlpm.prices),IF(_xlpm.hit=0,"",_xlpm.hit)))</f>
        <v>4.7829104335441031</v>
      </c>
      <c r="F19" s="78">
        <v>0</v>
      </c>
      <c r="G19" s="86">
        <v>0.20151935877844873</v>
      </c>
      <c r="H19" s="76">
        <f t="shared" si="2"/>
        <v>5.9900142678813024</v>
      </c>
      <c r="I19" s="11">
        <v>2200</v>
      </c>
      <c r="J19" s="76">
        <f t="shared" si="0"/>
        <v>13178.031389338865</v>
      </c>
      <c r="K19" s="76">
        <f t="shared" si="1"/>
        <v>2655.6284355418379</v>
      </c>
      <c r="L19" s="86">
        <v>1</v>
      </c>
      <c r="M19" s="11" t="s">
        <v>219</v>
      </c>
      <c r="N19" s="11"/>
      <c r="O19" s="11" t="s">
        <v>226</v>
      </c>
      <c r="P19" s="11" t="s">
        <v>241</v>
      </c>
      <c r="Q19" s="11"/>
      <c r="R19" s="11"/>
      <c r="Z19" t="str">
        <v>Butterfly Pea (Hiche)</v>
      </c>
      <c r="AA19" t="str">
        <v>Annatto Extract P1414 (44)</v>
      </c>
      <c r="AB19" t="str">
        <v>Annatto Extract P1414 (44)</v>
      </c>
    </row>
    <row r="20" spans="1:28" x14ac:dyDescent="0.25">
      <c r="A20" s="11" t="s">
        <v>7</v>
      </c>
      <c r="B20" s="87">
        <v>0.9</v>
      </c>
      <c r="C20" s="11" t="s">
        <v>334</v>
      </c>
      <c r="D20" s="11" t="s">
        <v>311</v>
      </c>
      <c r="E20" s="76" cm="1">
        <f t="array" ref="E20">IF(LOWER(TRIM($C20))="distributed",_xlfn.XLOOKUP($D20,'Cost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20),_xlpm.hit,SUMPRODUCT((_xlpm.norm(_xlpm.items)=_xlpm.needle)*_xlpm.prices),IF(_xlpm.hit=0,"",_xlpm.hit)))</f>
        <v>51.473723362756402</v>
      </c>
      <c r="F20" s="78">
        <v>0</v>
      </c>
      <c r="G20" s="86">
        <v>0.48526216332181571</v>
      </c>
      <c r="H20" s="76">
        <f t="shared" si="2"/>
        <v>99.999882843152903</v>
      </c>
      <c r="I20" s="11">
        <v>3400</v>
      </c>
      <c r="J20" s="76">
        <f t="shared" si="0"/>
        <v>339999.60166671989</v>
      </c>
      <c r="K20" s="76">
        <f t="shared" si="1"/>
        <v>164988.94223334812</v>
      </c>
      <c r="L20" s="86">
        <v>1</v>
      </c>
      <c r="M20" s="11" t="s">
        <v>219</v>
      </c>
      <c r="N20" s="11"/>
      <c r="O20" s="11" t="s">
        <v>226</v>
      </c>
      <c r="P20" s="11" t="s">
        <v>239</v>
      </c>
      <c r="Q20" s="11"/>
      <c r="R20" s="11"/>
      <c r="Z20" t="str">
        <v>Caramel Color R1410 (Alvin)</v>
      </c>
      <c r="AA20" t="str">
        <v>Annatto Extract P1428 (8)</v>
      </c>
      <c r="AB20" t="str">
        <v>Annatto Extract P1428 (8)</v>
      </c>
    </row>
    <row r="21" spans="1:28" x14ac:dyDescent="0.25">
      <c r="A21" s="11" t="s">
        <v>7</v>
      </c>
      <c r="B21" s="87">
        <v>0.9</v>
      </c>
      <c r="C21" s="11" t="s">
        <v>335</v>
      </c>
      <c r="D21" s="11" t="s">
        <v>338</v>
      </c>
      <c r="E21" s="76" cm="1">
        <f t="array" ref="E21">IF(LOWER(TRIM($C21))="distributed",_xlfn.XLOOKUP($D21,'Cost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21),_xlpm.hit,SUMPRODUCT((_xlpm.norm(_xlpm.items)=_xlpm.needle)*_xlpm.prices),IF(_xlpm.hit=0,"",_xlpm.hit)))</f>
        <v>5.983456828841252</v>
      </c>
      <c r="F21" s="78">
        <v>0</v>
      </c>
      <c r="G21" s="86">
        <v>0.31617475821989405</v>
      </c>
      <c r="H21" s="76">
        <f t="shared" si="2"/>
        <v>8.749979473213596</v>
      </c>
      <c r="I21" s="11">
        <v>70000</v>
      </c>
      <c r="J21" s="76">
        <f t="shared" si="0"/>
        <v>612498.56312495167</v>
      </c>
      <c r="K21" s="76">
        <f t="shared" si="1"/>
        <v>193656.5851060641</v>
      </c>
      <c r="L21" s="86">
        <v>1</v>
      </c>
      <c r="M21" s="11" t="s">
        <v>219</v>
      </c>
      <c r="N21" s="11" t="s">
        <v>387</v>
      </c>
      <c r="O21" s="11" t="s">
        <v>226</v>
      </c>
      <c r="P21" s="11" t="s">
        <v>240</v>
      </c>
      <c r="Q21" s="11"/>
      <c r="R21" s="11"/>
      <c r="Z21" t="str">
        <v>Carnosic 10% liquid</v>
      </c>
      <c r="AA21" t="str">
        <v>Annatto Extract P1428 (44)</v>
      </c>
      <c r="AB21" t="str">
        <v>Annatto Extract P1428 (44)</v>
      </c>
    </row>
    <row r="22" spans="1:28" x14ac:dyDescent="0.25">
      <c r="A22" s="11" t="s">
        <v>7</v>
      </c>
      <c r="B22" s="87">
        <v>0.9</v>
      </c>
      <c r="C22" s="11" t="s">
        <v>334</v>
      </c>
      <c r="D22" s="11" t="s">
        <v>167</v>
      </c>
      <c r="E22" s="76" cm="1">
        <f t="array" ref="E22">IF(LOWER(TRIM($C22))="distributed",_xlfn.XLOOKUP($D22,'Cost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22),_xlpm.hit,SUMPRODUCT((_xlpm.norm(_xlpm.items)=_xlpm.needle)*_xlpm.prices),IF(_xlpm.hit=0,"",_xlpm.hit)))</f>
        <v>26.095200079832356</v>
      </c>
      <c r="F22" s="78">
        <v>0</v>
      </c>
      <c r="G22" s="86">
        <v>0.17811387035090312</v>
      </c>
      <c r="H22" s="76">
        <f t="shared" si="2"/>
        <v>31.75038382868642</v>
      </c>
      <c r="I22" s="11">
        <v>1200</v>
      </c>
      <c r="J22" s="76">
        <f t="shared" si="0"/>
        <v>38100.460594423705</v>
      </c>
      <c r="K22" s="76">
        <f t="shared" si="1"/>
        <v>6786.2204986248771</v>
      </c>
      <c r="L22" s="86">
        <v>1</v>
      </c>
      <c r="M22" s="11" t="s">
        <v>219</v>
      </c>
      <c r="N22" s="11"/>
      <c r="O22" s="11" t="s">
        <v>226</v>
      </c>
      <c r="P22" s="11" t="s">
        <v>244</v>
      </c>
      <c r="Q22" s="11"/>
      <c r="R22" s="11"/>
      <c r="Z22" t="str">
        <v>Carnosic 15% pwd</v>
      </c>
    </row>
    <row r="23" spans="1:28" x14ac:dyDescent="0.25">
      <c r="A23" s="11" t="s">
        <v>7</v>
      </c>
      <c r="B23" s="87">
        <v>1</v>
      </c>
      <c r="C23" s="11" t="s">
        <v>334</v>
      </c>
      <c r="D23" s="11" t="s">
        <v>302</v>
      </c>
      <c r="E23" s="76" cm="1">
        <f t="array" ref="E23">IF(LOWER(TRIM($C23))="distributed",_xlfn.XLOOKUP($D23,'Cost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23),_xlpm.hit,SUMPRODUCT((_xlpm.norm(_xlpm.items)=_xlpm.needle)*_xlpm.prices),IF(_xlpm.hit=0,"",_xlpm.hit)))</f>
        <v>7.3221235405648137</v>
      </c>
      <c r="F23" s="78">
        <v>0</v>
      </c>
      <c r="G23" s="86">
        <v>0.28564672958824266</v>
      </c>
      <c r="H23" s="76">
        <f t="shared" si="2"/>
        <v>10.250003526048532</v>
      </c>
      <c r="I23" s="11">
        <v>50000</v>
      </c>
      <c r="J23" s="76">
        <f t="shared" si="0"/>
        <v>512500.17630242661</v>
      </c>
      <c r="K23" s="76">
        <f t="shared" si="1"/>
        <v>146393.99927418595</v>
      </c>
      <c r="L23" s="86">
        <v>1</v>
      </c>
      <c r="M23" s="11" t="s">
        <v>219</v>
      </c>
      <c r="N23" s="11" t="s">
        <v>387</v>
      </c>
      <c r="O23" s="11" t="s">
        <v>226</v>
      </c>
      <c r="P23" s="11" t="s">
        <v>244</v>
      </c>
      <c r="Q23" s="11"/>
      <c r="R23" s="11"/>
      <c r="Z23" t="str">
        <v>Carnosic 20% pwd</v>
      </c>
    </row>
    <row r="24" spans="1:28" x14ac:dyDescent="0.25">
      <c r="A24" s="11" t="s">
        <v>7</v>
      </c>
      <c r="B24" s="87">
        <v>0.9</v>
      </c>
      <c r="C24" s="11" t="s">
        <v>334</v>
      </c>
      <c r="D24" s="11" t="s">
        <v>389</v>
      </c>
      <c r="E24" s="76" cm="1">
        <f t="array" ref="E24">IF(LOWER(TRIM($C24))="distributed",_xlfn.XLOOKUP($D24,'Cost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24),_xlpm.hit,SUMPRODUCT((_xlpm.norm(_xlpm.items)=_xlpm.needle)*_xlpm.prices),IF(_xlpm.hit=0,"",_xlpm.hit)))</f>
        <v>10.947691665683882</v>
      </c>
      <c r="F24" s="78">
        <v>0</v>
      </c>
      <c r="G24" s="86">
        <v>0.4</v>
      </c>
      <c r="H24" s="76">
        <f>IF(OR(E24="",G24=""),0,(E24+F24)/(1-G24))</f>
        <v>18.246152776139805</v>
      </c>
      <c r="I24" s="11">
        <v>17000</v>
      </c>
      <c r="J24" s="76">
        <f t="shared" si="0"/>
        <v>310184.59719437669</v>
      </c>
      <c r="K24" s="76">
        <f t="shared" si="1"/>
        <v>124073.83887775068</v>
      </c>
      <c r="L24" s="86">
        <v>1</v>
      </c>
      <c r="M24" s="11"/>
      <c r="N24" s="11"/>
      <c r="O24" s="11" t="s">
        <v>226</v>
      </c>
      <c r="P24" s="11" t="s">
        <v>244</v>
      </c>
      <c r="Q24" s="11"/>
      <c r="R24" s="11"/>
      <c r="Z24" t="str">
        <v>Carnosic 5% liquid</v>
      </c>
    </row>
    <row r="25" spans="1:28" x14ac:dyDescent="0.25">
      <c r="A25" s="11" t="s">
        <v>8</v>
      </c>
      <c r="B25" s="87">
        <v>0</v>
      </c>
      <c r="C25" s="11" t="s">
        <v>334</v>
      </c>
      <c r="D25" s="11" t="s">
        <v>309</v>
      </c>
      <c r="E25" s="76" cm="1">
        <f t="array" ref="E25">IF(LOWER(TRIM($C25))="distributed",_xlfn.XLOOKUP($D25,'Cost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25),_xlpm.hit,SUMPRODUCT((_xlpm.norm(_xlpm.items)=_xlpm.needle)*_xlpm.prices),IF(_xlpm.hit=0,"",_xlpm.hit)))</f>
        <v>4.7829104335441031</v>
      </c>
      <c r="F25" s="78">
        <v>1.2</v>
      </c>
      <c r="G25" s="86">
        <v>0.30437086268178709</v>
      </c>
      <c r="H25" s="76">
        <f t="shared" si="2"/>
        <v>8.6007185619184963</v>
      </c>
      <c r="I25" s="11">
        <v>10000</v>
      </c>
      <c r="J25" s="76">
        <f t="shared" si="0"/>
        <v>86007.185619184966</v>
      </c>
      <c r="K25" s="76">
        <f t="shared" si="1"/>
        <v>26178.081283743919</v>
      </c>
      <c r="L25" s="86">
        <v>1</v>
      </c>
      <c r="M25" s="11" t="s">
        <v>219</v>
      </c>
      <c r="N25" s="11"/>
      <c r="O25" s="11" t="s">
        <v>226</v>
      </c>
      <c r="P25" s="11" t="s">
        <v>242</v>
      </c>
      <c r="Q25" s="11"/>
      <c r="R25" s="11"/>
      <c r="Z25" t="str">
        <v>Carnosox 10% liquid</v>
      </c>
    </row>
    <row r="26" spans="1:28" x14ac:dyDescent="0.25">
      <c r="A26" s="11" t="s">
        <v>8</v>
      </c>
      <c r="B26" s="87">
        <v>0</v>
      </c>
      <c r="C26" s="11" t="s">
        <v>334</v>
      </c>
      <c r="D26" s="11" t="s">
        <v>165</v>
      </c>
      <c r="E26" s="76" cm="1">
        <f t="array" ref="E26">IF(LOWER(TRIM($C26))="distributed",_xlfn.XLOOKUP($D26,'Cost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26),_xlpm.hit,SUMPRODUCT((_xlpm.norm(_xlpm.items)=_xlpm.needle)*_xlpm.prices),IF(_xlpm.hit=0,"",_xlpm.hit)))</f>
        <v>12.236575917845254</v>
      </c>
      <c r="F26" s="78">
        <v>1.2</v>
      </c>
      <c r="G26" s="86">
        <v>0.28718396844082672</v>
      </c>
      <c r="H26" s="76">
        <f t="shared" si="2"/>
        <v>18.849991194017974</v>
      </c>
      <c r="I26" s="11">
        <v>2000</v>
      </c>
      <c r="J26" s="76">
        <f t="shared" si="0"/>
        <v>37699.982388035947</v>
      </c>
      <c r="K26" s="76">
        <f t="shared" si="1"/>
        <v>10826.830552345438</v>
      </c>
      <c r="L26" s="86">
        <v>1</v>
      </c>
      <c r="M26" s="11" t="s">
        <v>219</v>
      </c>
      <c r="N26" s="11"/>
      <c r="O26" s="11" t="s">
        <v>227</v>
      </c>
      <c r="P26" s="11" t="s">
        <v>242</v>
      </c>
      <c r="Q26" s="11"/>
      <c r="R26" s="11"/>
      <c r="Z26" t="str">
        <v>Carnosox 10% powder</v>
      </c>
    </row>
    <row r="27" spans="1:28" x14ac:dyDescent="0.25">
      <c r="A27" s="11" t="s">
        <v>7</v>
      </c>
      <c r="B27" s="87">
        <v>0.9</v>
      </c>
      <c r="C27" s="11" t="s">
        <v>335</v>
      </c>
      <c r="D27" s="11" t="s">
        <v>328</v>
      </c>
      <c r="E27" s="76" cm="1">
        <f t="array" ref="E27">IF(LOWER(TRIM($C27))="distributed",_xlfn.XLOOKUP($D27,'Cost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27),_xlpm.hit,SUMPRODUCT((_xlpm.norm(_xlpm.items)=_xlpm.needle)*_xlpm.prices),IF(_xlpm.hit=0,"",_xlpm.hit)))</f>
        <v>2.661294917037857</v>
      </c>
      <c r="F27" s="78">
        <v>0</v>
      </c>
      <c r="G27" s="86">
        <v>0.3346859439481969</v>
      </c>
      <c r="H27" s="76">
        <f t="shared" si="2"/>
        <v>4.0000581572421208</v>
      </c>
      <c r="I27" s="11">
        <v>520</v>
      </c>
      <c r="J27" s="76">
        <f t="shared" si="0"/>
        <v>2080.0302417659027</v>
      </c>
      <c r="K27" s="76">
        <f t="shared" si="1"/>
        <v>696.15688490621733</v>
      </c>
      <c r="L27" s="86">
        <v>1</v>
      </c>
      <c r="M27" s="11" t="s">
        <v>219</v>
      </c>
      <c r="N27" s="11"/>
      <c r="O27" s="11" t="s">
        <v>227</v>
      </c>
      <c r="P27" s="11" t="s">
        <v>244</v>
      </c>
      <c r="Q27" s="11"/>
      <c r="R27" s="11"/>
      <c r="Z27" t="str">
        <v>Carnosox PP</v>
      </c>
    </row>
    <row r="28" spans="1:28" x14ac:dyDescent="0.25">
      <c r="A28" s="11" t="s">
        <v>7</v>
      </c>
      <c r="B28" s="87">
        <v>0.9</v>
      </c>
      <c r="C28" s="11" t="s">
        <v>335</v>
      </c>
      <c r="D28" s="11" t="s">
        <v>330</v>
      </c>
      <c r="E28" s="76" cm="1">
        <f t="array" ref="E28">IF(LOWER(TRIM($C28))="distributed",_xlfn.XLOOKUP($D28,'Cost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28),_xlpm.hit,SUMPRODUCT((_xlpm.norm(_xlpm.items)=_xlpm.needle)*_xlpm.prices),IF(_xlpm.hit=0,"",_xlpm.hit)))</f>
        <v>3.0140087634150103</v>
      </c>
      <c r="F28" s="78">
        <v>0</v>
      </c>
      <c r="G28" s="86">
        <v>0.39478428220554473</v>
      </c>
      <c r="H28" s="76">
        <f t="shared" si="2"/>
        <v>4.9800569859598971</v>
      </c>
      <c r="I28" s="11">
        <v>2700</v>
      </c>
      <c r="J28" s="76">
        <f t="shared" si="0"/>
        <v>13446.153862091722</v>
      </c>
      <c r="K28" s="76">
        <f t="shared" si="1"/>
        <v>5308.3302008711935</v>
      </c>
      <c r="L28" s="86">
        <v>1</v>
      </c>
      <c r="M28" s="11" t="s">
        <v>219</v>
      </c>
      <c r="N28" s="11"/>
      <c r="O28" s="11" t="s">
        <v>227</v>
      </c>
      <c r="P28" s="11" t="s">
        <v>244</v>
      </c>
      <c r="Q28" s="11"/>
      <c r="R28" s="11"/>
      <c r="Z28" t="str">
        <v>Citric Acid*</v>
      </c>
    </row>
    <row r="29" spans="1:28" x14ac:dyDescent="0.25">
      <c r="A29" s="11" t="s">
        <v>394</v>
      </c>
      <c r="B29" s="87">
        <v>0.6</v>
      </c>
      <c r="C29" s="11" t="s">
        <v>334</v>
      </c>
      <c r="D29" s="11" t="s">
        <v>389</v>
      </c>
      <c r="E29" s="76" cm="1">
        <f t="array" ref="E29">IF(LOWER(TRIM($C29))="distributed",_xlfn.XLOOKUP($D29,'Cost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29),_xlpm.hit,SUMPRODUCT((_xlpm.norm(_xlpm.items)=_xlpm.needle)*_xlpm.prices),IF(_xlpm.hit=0,"",_xlpm.hit)))</f>
        <v>10.947691665683882</v>
      </c>
      <c r="F29" s="78">
        <v>0</v>
      </c>
      <c r="G29" s="86">
        <v>0.44984179357074883</v>
      </c>
      <c r="H29" s="76">
        <f t="shared" si="2"/>
        <v>19.899169980102304</v>
      </c>
      <c r="I29" s="11">
        <v>8000</v>
      </c>
      <c r="J29" s="76">
        <f t="shared" si="0"/>
        <v>159193.35984081842</v>
      </c>
      <c r="K29" s="76">
        <f t="shared" si="1"/>
        <v>71611.826515347377</v>
      </c>
      <c r="L29" s="86">
        <v>1</v>
      </c>
      <c r="M29" s="11" t="s">
        <v>219</v>
      </c>
      <c r="N29" s="11" t="s">
        <v>395</v>
      </c>
      <c r="O29" s="11" t="s">
        <v>226</v>
      </c>
      <c r="P29" s="11" t="s">
        <v>244</v>
      </c>
      <c r="Q29" s="11"/>
      <c r="R29" s="11"/>
      <c r="Z29" t="str">
        <v>DI Water</v>
      </c>
    </row>
    <row r="30" spans="1:28" x14ac:dyDescent="0.25">
      <c r="A30" s="11" t="s">
        <v>2</v>
      </c>
      <c r="B30" s="87">
        <v>0.5</v>
      </c>
      <c r="C30" s="11" t="s">
        <v>335</v>
      </c>
      <c r="D30" s="11" t="s">
        <v>404</v>
      </c>
      <c r="E30" s="76" cm="1">
        <f t="array" ref="E30">IF(LOWER(TRIM($C30))="distributed",_xlfn.XLOOKUP($D30,'Cost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30),_xlpm.hit,SUMPRODUCT((_xlpm.norm(_xlpm.items)=_xlpm.needle)*_xlpm.prices),IF(_xlpm.hit=0,"",_xlpm.hit)))</f>
        <v>3.4219823060209924</v>
      </c>
      <c r="F30" s="78">
        <v>0</v>
      </c>
      <c r="G30" s="86">
        <v>0.5</v>
      </c>
      <c r="H30" s="76">
        <f t="shared" si="2"/>
        <v>6.8439646120419848</v>
      </c>
      <c r="I30" s="11">
        <v>1900</v>
      </c>
      <c r="J30" s="76">
        <f t="shared" si="0"/>
        <v>13003.532762879771</v>
      </c>
      <c r="K30" s="76">
        <f t="shared" si="1"/>
        <v>6501.7663814398857</v>
      </c>
      <c r="L30" s="86">
        <v>1</v>
      </c>
      <c r="M30" s="11"/>
      <c r="N30" s="11"/>
      <c r="O30" s="11" t="s">
        <v>226</v>
      </c>
      <c r="P30" s="11" t="s">
        <v>244</v>
      </c>
      <c r="Q30" s="11"/>
      <c r="R30" s="11"/>
      <c r="Z30" t="str">
        <v>FD&amp;C Blue 1 Powder (Vidhi)</v>
      </c>
    </row>
    <row r="31" spans="1:28" x14ac:dyDescent="0.25">
      <c r="A31" s="11" t="s">
        <v>2</v>
      </c>
      <c r="B31" s="87">
        <v>0.5</v>
      </c>
      <c r="C31" s="11" t="s">
        <v>335</v>
      </c>
      <c r="D31" s="11" t="s">
        <v>338</v>
      </c>
      <c r="E31" s="76" cm="1">
        <f t="array" ref="E31">IF(LOWER(TRIM($C31))="distributed",_xlfn.XLOOKUP($D31,'Cost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31),_xlpm.hit,SUMPRODUCT((_xlpm.norm(_xlpm.items)=_xlpm.needle)*_xlpm.prices),IF(_xlpm.hit=0,"",_xlpm.hit)))</f>
        <v>5.983456828841252</v>
      </c>
      <c r="F31" s="78">
        <v>0</v>
      </c>
      <c r="G31" s="86">
        <v>0.32</v>
      </c>
      <c r="H31" s="76">
        <f t="shared" si="2"/>
        <v>8.7992012188841944</v>
      </c>
      <c r="I31" s="11">
        <v>4390</v>
      </c>
      <c r="J31" s="76">
        <f t="shared" si="0"/>
        <v>38628.493350901612</v>
      </c>
      <c r="K31" s="76">
        <f t="shared" si="1"/>
        <v>12361.117872288516</v>
      </c>
      <c r="L31" s="86">
        <v>1</v>
      </c>
      <c r="M31" s="11"/>
      <c r="N31" s="11"/>
      <c r="O31" s="11" t="s">
        <v>226</v>
      </c>
      <c r="P31" s="11" t="s">
        <v>244</v>
      </c>
      <c r="Q31" s="11"/>
      <c r="R31" s="11"/>
      <c r="Z31" t="str">
        <v>FD&amp;C Blue 1 Powder (Vivify)</v>
      </c>
    </row>
    <row r="32" spans="1:28" x14ac:dyDescent="0.25">
      <c r="A32" s="11" t="s">
        <v>2</v>
      </c>
      <c r="B32" s="87">
        <v>0.5</v>
      </c>
      <c r="C32" s="11" t="s">
        <v>334</v>
      </c>
      <c r="D32" s="11" t="s">
        <v>406</v>
      </c>
      <c r="E32" s="76" cm="1">
        <f t="array" ref="E32">IF(LOWER(TRIM($C32))="distributed",_xlfn.XLOOKUP($D32,'Cost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32),_xlpm.hit,SUMPRODUCT((_xlpm.norm(_xlpm.items)=_xlpm.needle)*_xlpm.prices),IF(_xlpm.hit=0,"",_xlpm.hit)))</f>
        <v>15.034958405530205</v>
      </c>
      <c r="F32" s="78">
        <v>0</v>
      </c>
      <c r="G32" s="86">
        <v>0.3</v>
      </c>
      <c r="H32" s="76">
        <f t="shared" si="2"/>
        <v>21.478512007900292</v>
      </c>
      <c r="I32" s="11">
        <v>2200</v>
      </c>
      <c r="J32" s="76">
        <f t="shared" si="0"/>
        <v>47252.72641738064</v>
      </c>
      <c r="K32" s="76">
        <f t="shared" si="1"/>
        <v>14175.817925214191</v>
      </c>
      <c r="L32" s="86">
        <v>1</v>
      </c>
      <c r="M32" s="11"/>
      <c r="N32" s="11"/>
      <c r="O32" s="11" t="s">
        <v>226</v>
      </c>
      <c r="P32" s="11" t="s">
        <v>244</v>
      </c>
      <c r="Q32" s="11"/>
      <c r="R32" s="11"/>
      <c r="Z32" t="str">
        <v>FD&amp;C Red 3 Powder (Vidhi)</v>
      </c>
    </row>
    <row r="33" spans="1:26" x14ac:dyDescent="0.25">
      <c r="A33" s="11" t="s">
        <v>2</v>
      </c>
      <c r="B33" s="87">
        <v>0.5</v>
      </c>
      <c r="C33" s="11" t="s">
        <v>334</v>
      </c>
      <c r="D33" s="11" t="s">
        <v>389</v>
      </c>
      <c r="E33" s="76" cm="1">
        <f t="array" ref="E33">IF(LOWER(TRIM($C33))="distributed",_xlfn.XLOOKUP($D33,'Cost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33),_xlpm.hit,SUMPRODUCT((_xlpm.norm(_xlpm.items)=_xlpm.needle)*_xlpm.prices),IF(_xlpm.hit=0,"",_xlpm.hit)))</f>
        <v>10.947691665683882</v>
      </c>
      <c r="F33" s="78">
        <v>0</v>
      </c>
      <c r="G33" s="86">
        <v>0.45</v>
      </c>
      <c r="H33" s="76">
        <f t="shared" si="2"/>
        <v>19.904893937607056</v>
      </c>
      <c r="I33" s="11">
        <v>3900</v>
      </c>
      <c r="J33" s="76">
        <f t="shared" si="0"/>
        <v>77629.086356667525</v>
      </c>
      <c r="K33" s="76">
        <f t="shared" si="1"/>
        <v>34933.088860500386</v>
      </c>
      <c r="L33" s="86">
        <v>1</v>
      </c>
      <c r="M33" s="11"/>
      <c r="N33" s="11"/>
      <c r="O33" s="11" t="s">
        <v>226</v>
      </c>
      <c r="P33" s="11" t="s">
        <v>244</v>
      </c>
      <c r="Q33" s="11"/>
      <c r="R33" s="11"/>
      <c r="Z33" t="str">
        <v>FD&amp;C Red 40 Granular (Vidhi)</v>
      </c>
    </row>
    <row r="34" spans="1:26" x14ac:dyDescent="0.25">
      <c r="A34" s="11" t="s">
        <v>2</v>
      </c>
      <c r="B34" s="87">
        <v>0.5</v>
      </c>
      <c r="C34" s="11" t="s">
        <v>334</v>
      </c>
      <c r="D34" s="11" t="s">
        <v>322</v>
      </c>
      <c r="E34" s="76" cm="1">
        <f t="array" ref="E34">IF(LOWER(TRIM($C34))="distributed",_xlfn.XLOOKUP($D34,'Cost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34),_xlpm.hit,SUMPRODUCT((_xlpm.norm(_xlpm.items)=_xlpm.needle)*_xlpm.prices),IF(_xlpm.hit=0,"",_xlpm.hit)))</f>
        <v>17.111792508459505</v>
      </c>
      <c r="F34" s="78">
        <v>0</v>
      </c>
      <c r="G34" s="86">
        <v>0.4</v>
      </c>
      <c r="H34" s="76">
        <f t="shared" si="2"/>
        <v>28.519654180765844</v>
      </c>
      <c r="I34" s="11">
        <v>3410</v>
      </c>
      <c r="J34" s="76">
        <f t="shared" si="0"/>
        <v>97252.020756411526</v>
      </c>
      <c r="K34" s="76">
        <f t="shared" si="1"/>
        <v>38900.808302564612</v>
      </c>
      <c r="L34" s="86">
        <v>1</v>
      </c>
      <c r="M34" s="11"/>
      <c r="N34" s="11"/>
      <c r="O34" s="11" t="s">
        <v>226</v>
      </c>
      <c r="P34" s="11" t="s">
        <v>244</v>
      </c>
      <c r="Q34" s="11"/>
      <c r="R34" s="11"/>
      <c r="Z34" t="str">
        <v>FD&amp;C Red 40 HD Lake (Vidhi)</v>
      </c>
    </row>
    <row r="35" spans="1:26" x14ac:dyDescent="0.25">
      <c r="A35" s="11" t="s">
        <v>2</v>
      </c>
      <c r="B35" s="87">
        <v>0.8</v>
      </c>
      <c r="C35" s="11" t="s">
        <v>335</v>
      </c>
      <c r="D35" s="11" t="s">
        <v>339</v>
      </c>
      <c r="E35" s="76" cm="1">
        <f t="array" ref="E35">IF(LOWER(TRIM($C35))="distributed",_xlfn.XLOOKUP($D35,'Cost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35),_xlpm.hit,SUMPRODUCT((_xlpm.norm(_xlpm.items)=_xlpm.needle)*_xlpm.prices),IF(_xlpm.hit=0,"",_xlpm.hit)))</f>
        <v>7.60970080739538</v>
      </c>
      <c r="F35" s="78">
        <v>0</v>
      </c>
      <c r="G35" s="86">
        <v>0.3085</v>
      </c>
      <c r="H35" s="76">
        <f t="shared" si="2"/>
        <v>11.004628788713493</v>
      </c>
      <c r="I35" s="11">
        <v>10780</v>
      </c>
      <c r="J35" s="76">
        <f t="shared" si="0"/>
        <v>118629.89834233145</v>
      </c>
      <c r="K35" s="76">
        <f t="shared" si="1"/>
        <v>36597.323638609254</v>
      </c>
      <c r="L35" s="86">
        <v>1</v>
      </c>
      <c r="M35" s="11"/>
      <c r="N35" s="11"/>
      <c r="O35" s="11" t="s">
        <v>226</v>
      </c>
      <c r="P35" s="11" t="s">
        <v>244</v>
      </c>
      <c r="Q35" s="11"/>
      <c r="R35" s="11"/>
      <c r="Z35" t="str">
        <v>FD&amp;C Yellow 5 Powder (Vidhi)</v>
      </c>
    </row>
    <row r="36" spans="1:26" x14ac:dyDescent="0.25">
      <c r="A36" s="11" t="s">
        <v>7</v>
      </c>
      <c r="B36" s="87">
        <v>0.6</v>
      </c>
      <c r="C36" s="11" t="s">
        <v>335</v>
      </c>
      <c r="D36" s="11" t="s">
        <v>411</v>
      </c>
      <c r="E36" s="76" cm="1">
        <f t="array" ref="E36">IF(LOWER(TRIM($C36))="distributed",_xlfn.XLOOKUP($D36,'Cost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36),_xlpm.hit,SUMPRODUCT((_xlpm.norm(_xlpm.items)=_xlpm.needle)*_xlpm.prices),IF(_xlpm.hit=0,"",_xlpm.hit)))</f>
        <v>21.905330079560201</v>
      </c>
      <c r="F36" s="78">
        <v>0</v>
      </c>
      <c r="G36" s="86">
        <v>0.55000000000000004</v>
      </c>
      <c r="H36" s="76">
        <f t="shared" si="2"/>
        <v>48.678511287911562</v>
      </c>
      <c r="I36" s="11">
        <v>4100</v>
      </c>
      <c r="J36" s="76">
        <f t="shared" si="0"/>
        <v>199581.89628043742</v>
      </c>
      <c r="K36" s="76">
        <f t="shared" si="1"/>
        <v>109770.04295424059</v>
      </c>
      <c r="L36" s="86">
        <v>1</v>
      </c>
      <c r="M36" s="11"/>
      <c r="N36" s="11"/>
      <c r="O36" s="11" t="s">
        <v>227</v>
      </c>
      <c r="P36" s="11" t="s">
        <v>239</v>
      </c>
      <c r="Q36" s="11"/>
      <c r="R36" s="11"/>
      <c r="Z36" t="str">
        <v>FD&amp;C Yellow 5 Powder (Vivify)</v>
      </c>
    </row>
    <row r="37" spans="1:26" x14ac:dyDescent="0.25">
      <c r="A37" s="11" t="s">
        <v>7</v>
      </c>
      <c r="B37" s="87">
        <v>0.6</v>
      </c>
      <c r="C37" s="11" t="s">
        <v>334</v>
      </c>
      <c r="D37" s="11" t="s">
        <v>414</v>
      </c>
      <c r="E37" s="76" cm="1">
        <f t="array" ref="E37">IF(LOWER(TRIM($C37))="distributed",_xlfn.XLOOKUP($D37,'Cost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37),_xlpm.hit,SUMPRODUCT((_xlpm.norm(_xlpm.items)=_xlpm.needle)*_xlpm.prices),IF(_xlpm.hit=0,"",_xlpm.hit)))</f>
        <v>23.014170242490771</v>
      </c>
      <c r="F37" s="78">
        <v>0</v>
      </c>
      <c r="G37" s="86">
        <v>0.3</v>
      </c>
      <c r="H37" s="76">
        <f t="shared" si="2"/>
        <v>32.877386060701106</v>
      </c>
      <c r="I37" s="11">
        <v>34000</v>
      </c>
      <c r="J37" s="76">
        <f t="shared" si="0"/>
        <v>1117831.1260638377</v>
      </c>
      <c r="K37" s="76">
        <f t="shared" si="1"/>
        <v>335349.33781915129</v>
      </c>
      <c r="L37" s="86">
        <v>1</v>
      </c>
      <c r="M37" s="11"/>
      <c r="N37" s="11" t="s">
        <v>395</v>
      </c>
      <c r="O37" s="11" t="s">
        <v>227</v>
      </c>
      <c r="P37" s="11" t="s">
        <v>244</v>
      </c>
      <c r="Q37" s="11"/>
      <c r="R37" s="11"/>
      <c r="Z37" t="str">
        <v>FD&amp;C Yellow 6 Powder (Vidhi)</v>
      </c>
    </row>
    <row r="38" spans="1:26" x14ac:dyDescent="0.25">
      <c r="A38" s="11" t="s">
        <v>2</v>
      </c>
      <c r="B38" s="86">
        <v>0.6</v>
      </c>
      <c r="C38" s="11" t="s">
        <v>334</v>
      </c>
      <c r="D38" s="11" t="s">
        <v>306</v>
      </c>
      <c r="E38" s="76" cm="1">
        <f t="array" ref="E38">IF(LOWER(TRIM($C38))="distributed",_xlfn.XLOOKUP($D38,'Cost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38),_xlpm.hit,SUMPRODUCT((_xlpm.norm(_xlpm.items)=_xlpm.needle)*_xlpm.prices),IF(_xlpm.hit=0,"",_xlpm.hit)))</f>
        <v>20.375506890076295</v>
      </c>
      <c r="F38" s="78">
        <v>0</v>
      </c>
      <c r="G38" s="86">
        <v>0.25</v>
      </c>
      <c r="H38" s="76">
        <f t="shared" si="2"/>
        <v>27.167342520101727</v>
      </c>
      <c r="I38" s="11">
        <v>2200</v>
      </c>
      <c r="J38" s="76">
        <f t="shared" si="0"/>
        <v>59768.153544223802</v>
      </c>
      <c r="K38" s="76">
        <f t="shared" si="1"/>
        <v>14942.03838605595</v>
      </c>
      <c r="L38" s="86">
        <v>1</v>
      </c>
      <c r="M38" s="11" t="s">
        <v>219</v>
      </c>
      <c r="N38" s="11" t="s">
        <v>395</v>
      </c>
      <c r="O38" s="11" t="s">
        <v>227</v>
      </c>
      <c r="P38" s="11" t="s">
        <v>244</v>
      </c>
      <c r="Q38" s="11"/>
      <c r="R38" s="11"/>
      <c r="Z38" t="str">
        <v>Fine Flour Salt (Brenntag)</v>
      </c>
    </row>
    <row r="39" spans="1:26" x14ac:dyDescent="0.25">
      <c r="A39" s="11" t="s">
        <v>415</v>
      </c>
      <c r="B39" s="86">
        <v>0.6</v>
      </c>
      <c r="C39" s="11" t="s">
        <v>335</v>
      </c>
      <c r="D39" s="11" t="s">
        <v>342</v>
      </c>
      <c r="E39" s="76" cm="1">
        <f t="array" ref="E39">IF(LOWER(TRIM($C39))="distributed",_xlfn.XLOOKUP($D39,'Cost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39),_xlpm.hit,SUMPRODUCT((_xlpm.norm(_xlpm.items)=_xlpm.needle)*_xlpm.prices),IF(_xlpm.hit=0,"",_xlpm.hit)))</f>
        <v>5.3980216091662054</v>
      </c>
      <c r="F39" s="78">
        <v>0</v>
      </c>
      <c r="G39" s="86">
        <v>0.4</v>
      </c>
      <c r="H39" s="98">
        <f t="shared" si="2"/>
        <v>8.9967026819436757</v>
      </c>
      <c r="I39" s="11">
        <v>3400</v>
      </c>
      <c r="J39" s="76">
        <f t="shared" si="0"/>
        <v>30588.789118608496</v>
      </c>
      <c r="K39" s="76">
        <f t="shared" si="1"/>
        <v>12235.515647443399</v>
      </c>
      <c r="L39" s="86">
        <v>1</v>
      </c>
      <c r="M39" s="11" t="s">
        <v>219</v>
      </c>
      <c r="N39" s="11" t="s">
        <v>395</v>
      </c>
      <c r="O39" s="11" t="s">
        <v>231</v>
      </c>
      <c r="P39" s="11" t="s">
        <v>244</v>
      </c>
      <c r="Q39" s="11"/>
      <c r="R39" s="11"/>
      <c r="Z39" t="str">
        <v>Glycerin*</v>
      </c>
    </row>
    <row r="40" spans="1:26" x14ac:dyDescent="0.25">
      <c r="A40" s="11" t="s">
        <v>7</v>
      </c>
      <c r="B40" s="86">
        <v>0.6</v>
      </c>
      <c r="C40" s="11" t="s">
        <v>335</v>
      </c>
      <c r="D40" s="11" t="s">
        <v>424</v>
      </c>
      <c r="E40" s="76" cm="1">
        <f t="array" ref="E40">IF(LOWER(TRIM($C40))="distributed",_xlfn.XLOOKUP($D40,'Cost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40),_xlpm.hit,SUMPRODUCT((_xlpm.norm(_xlpm.items)=_xlpm.needle)*_xlpm.prices),IF(_xlpm.hit=0,"",_xlpm.hit)))</f>
        <v>4.7495047173662588</v>
      </c>
      <c r="F40" s="78">
        <v>0</v>
      </c>
      <c r="G40" s="86">
        <v>0.65</v>
      </c>
      <c r="H40" s="98">
        <f t="shared" si="2"/>
        <v>13.570013478189312</v>
      </c>
      <c r="I40" s="11">
        <v>10000</v>
      </c>
      <c r="J40" s="76">
        <f t="shared" si="0"/>
        <v>135700.13478189311</v>
      </c>
      <c r="K40" s="76">
        <f t="shared" si="1"/>
        <v>88205.087608230519</v>
      </c>
      <c r="L40" s="86">
        <v>1</v>
      </c>
      <c r="M40" s="11" t="s">
        <v>219</v>
      </c>
      <c r="N40" s="11" t="s">
        <v>395</v>
      </c>
      <c r="O40" s="11" t="s">
        <v>227</v>
      </c>
      <c r="P40" s="11" t="s">
        <v>244</v>
      </c>
      <c r="Q40" s="11"/>
      <c r="R40" s="11"/>
      <c r="Z40" t="str">
        <v>Maltodextrin M-100 IP (Brenntag)</v>
      </c>
    </row>
    <row r="41" spans="1:26" x14ac:dyDescent="0.25">
      <c r="A41" s="11" t="s">
        <v>2</v>
      </c>
      <c r="B41" s="86">
        <v>1</v>
      </c>
      <c r="C41" s="11" t="s">
        <v>334</v>
      </c>
      <c r="D41" s="11" t="s">
        <v>433</v>
      </c>
      <c r="E41" s="76" cm="1">
        <f t="array" ref="E41">IF(LOWER(TRIM($C41))="distributed",_xlfn.XLOOKUP($D41,'Cost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41),_xlpm.hit,SUMPRODUCT((_xlpm.norm(_xlpm.items)=_xlpm.needle)*_xlpm.prices),IF(_xlpm.hit=0,"",_xlpm.hit)))</f>
        <v>19.413776523845378</v>
      </c>
      <c r="F41" s="78">
        <v>0</v>
      </c>
      <c r="G41" s="86">
        <v>0.2215701863561497</v>
      </c>
      <c r="H41" s="98">
        <f t="shared" si="2"/>
        <v>24.9396621038562</v>
      </c>
      <c r="I41" s="11">
        <v>10000</v>
      </c>
      <c r="J41" s="76">
        <f t="shared" si="0"/>
        <v>249396.62103856201</v>
      </c>
      <c r="K41" s="76">
        <f t="shared" si="1"/>
        <v>55258.855800108227</v>
      </c>
      <c r="L41" s="86">
        <v>1</v>
      </c>
      <c r="M41" s="11" t="s">
        <v>219</v>
      </c>
      <c r="N41" s="11" t="s">
        <v>395</v>
      </c>
      <c r="O41" s="11" t="s">
        <v>226</v>
      </c>
      <c r="P41" s="11" t="s">
        <v>241</v>
      </c>
      <c r="Q41" s="11"/>
      <c r="R41" s="11"/>
      <c r="Z41" t="str">
        <v>Mystery Box for Beet*</v>
      </c>
    </row>
    <row r="42" spans="1:26" x14ac:dyDescent="0.25">
      <c r="A42" s="11" t="s">
        <v>434</v>
      </c>
      <c r="B42" s="86">
        <v>0.5</v>
      </c>
      <c r="C42" s="11" t="s">
        <v>334</v>
      </c>
      <c r="D42" s="11" t="s">
        <v>435</v>
      </c>
      <c r="E42" s="76" cm="1">
        <f t="array" ref="E42">IF(LOWER(TRIM($C42))="distributed",_xlfn.XLOOKUP($D42,'Cost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42),_xlpm.hit,SUMPRODUCT((_xlpm.norm(_xlpm.items)=_xlpm.needle)*_xlpm.prices),IF(_xlpm.hit=0,"",_xlpm.hit)))</f>
        <v>4.6720069671870901</v>
      </c>
      <c r="F42" s="78">
        <v>0</v>
      </c>
      <c r="G42" s="86">
        <v>0.6</v>
      </c>
      <c r="H42" s="98">
        <f t="shared" si="2"/>
        <v>11.680017417967724</v>
      </c>
      <c r="I42" s="11">
        <v>220</v>
      </c>
      <c r="J42" s="76">
        <f t="shared" si="0"/>
        <v>2569.6038319528993</v>
      </c>
      <c r="K42" s="76">
        <f t="shared" si="1"/>
        <v>1541.7622991717396</v>
      </c>
      <c r="L42" s="11"/>
      <c r="M42" s="11"/>
      <c r="N42" s="11"/>
      <c r="O42" s="11"/>
      <c r="P42" s="11"/>
      <c r="Q42" s="11"/>
      <c r="R42" s="11"/>
      <c r="Z42" t="str">
        <v>NaCu Chlorophyll 98% (Nutracean)</v>
      </c>
    </row>
    <row r="43" spans="1:26" x14ac:dyDescent="0.25">
      <c r="A43" s="11" t="s">
        <v>434</v>
      </c>
      <c r="B43" s="86">
        <v>0.5</v>
      </c>
      <c r="C43" s="11" t="s">
        <v>335</v>
      </c>
      <c r="D43" s="11" t="s">
        <v>437</v>
      </c>
      <c r="E43" s="76" cm="1">
        <f t="array" ref="E43">IF(LOWER(TRIM($C43))="distributed",_xlfn.XLOOKUP($D43,'Cost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43),_xlpm.hit,SUMPRODUCT((_xlpm.norm(_xlpm.items)=_xlpm.needle)*_xlpm.prices),IF(_xlpm.hit=0,"",_xlpm.hit)))</f>
        <v>8.1301527201966781</v>
      </c>
      <c r="F43" s="78">
        <v>0</v>
      </c>
      <c r="G43" s="86">
        <v>0.6</v>
      </c>
      <c r="H43" s="98">
        <f t="shared" si="2"/>
        <v>20.325381800491694</v>
      </c>
      <c r="I43" s="11">
        <v>450</v>
      </c>
      <c r="J43" s="76">
        <f t="shared" si="0"/>
        <v>9146.4218102212617</v>
      </c>
      <c r="K43" s="76">
        <f t="shared" si="1"/>
        <v>5487.8530861327572</v>
      </c>
      <c r="L43" s="11"/>
      <c r="M43" s="11"/>
      <c r="N43" s="11"/>
      <c r="O43" s="11"/>
      <c r="P43" s="11"/>
      <c r="Q43" s="11"/>
      <c r="R43" s="11"/>
      <c r="Z43" t="str">
        <v>Natural Blue L1300 (Hiche)</v>
      </c>
    </row>
    <row r="44" spans="1:26" x14ac:dyDescent="0.25">
      <c r="A44" s="11" t="s">
        <v>434</v>
      </c>
      <c r="B44" s="86">
        <v>0.5</v>
      </c>
      <c r="C44" s="11" t="s">
        <v>335</v>
      </c>
      <c r="D44" s="11"/>
      <c r="E44" s="76" cm="1">
        <f t="array" ref="E44">IF(LOWER(TRIM($C44))="distributed",_xlfn.XLOOKUP($D44,'Cost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44),_xlpm.hit,SUMPRODUCT((_xlpm.norm(_xlpm.items)=_xlpm.needle)*_xlpm.prices),IF(_xlpm.hit=0,"",_xlpm.hit)))</f>
        <v>68.57486462066025</v>
      </c>
      <c r="F44" s="78">
        <v>0</v>
      </c>
      <c r="G44" s="86"/>
      <c r="H44" s="98">
        <f t="shared" si="2"/>
        <v>0</v>
      </c>
      <c r="I44" s="11"/>
      <c r="L44" s="11"/>
      <c r="M44" s="11"/>
      <c r="N44" s="11"/>
      <c r="O44" s="11"/>
      <c r="P44" s="11"/>
      <c r="Q44" s="11"/>
      <c r="R44" s="11"/>
      <c r="Z44" t="str">
        <v>Natural Green J1410 (Cyber Colors)</v>
      </c>
    </row>
    <row r="45" spans="1:26" x14ac:dyDescent="0.25">
      <c r="A45" s="11" t="s">
        <v>438</v>
      </c>
      <c r="B45" s="86">
        <v>0.2</v>
      </c>
      <c r="C45" s="11" t="s">
        <v>334</v>
      </c>
      <c r="D45" s="11" t="s">
        <v>406</v>
      </c>
      <c r="E45" s="76" cm="1">
        <f t="array" ref="E45">IF(LOWER(TRIM($C45))="distributed",_xlfn.XLOOKUP($D45,'Cost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45),_xlpm.hit,SUMPRODUCT((_xlpm.norm(_xlpm.items)=_xlpm.needle)*_xlpm.prices),IF(_xlpm.hit=0,"",_xlpm.hit)))</f>
        <v>15.034958405530205</v>
      </c>
      <c r="F45" s="78">
        <v>0</v>
      </c>
      <c r="G45" s="86">
        <v>0.4</v>
      </c>
      <c r="H45" s="98">
        <f t="shared" si="2"/>
        <v>25.058264009217009</v>
      </c>
      <c r="I45" s="11"/>
      <c r="L45" s="11"/>
      <c r="M45" s="11"/>
      <c r="N45" s="11"/>
      <c r="O45" s="11"/>
      <c r="P45" s="11"/>
      <c r="Q45" s="11"/>
      <c r="R45" s="11"/>
      <c r="Z45" t="str">
        <v>Natural Orange F1333 (AroMoss)</v>
      </c>
    </row>
    <row r="46" spans="1:26" x14ac:dyDescent="0.25">
      <c r="A46" s="11" t="s">
        <v>438</v>
      </c>
      <c r="B46" s="86">
        <v>0.2</v>
      </c>
      <c r="C46" s="11" t="s">
        <v>334</v>
      </c>
      <c r="D46" s="11" t="s">
        <v>389</v>
      </c>
      <c r="E46" s="76" cm="1">
        <f t="array" ref="E46">IF(LOWER(TRIM($C46))="distributed",_xlfn.XLOOKUP($D46,'Cost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46),_xlpm.hit,SUMPRODUCT((_xlpm.norm(_xlpm.items)=_xlpm.needle)*_xlpm.prices),IF(_xlpm.hit=0,"",_xlpm.hit)))</f>
        <v>10.947691665683882</v>
      </c>
      <c r="F46" s="78">
        <v>0</v>
      </c>
      <c r="G46" s="86">
        <v>0.45</v>
      </c>
      <c r="H46" s="98">
        <f t="shared" si="2"/>
        <v>19.904893937607056</v>
      </c>
      <c r="I46" s="11"/>
      <c r="L46" s="11"/>
      <c r="M46" s="11"/>
      <c r="N46" s="11"/>
      <c r="O46" s="11"/>
      <c r="P46" s="11"/>
      <c r="Q46" s="11"/>
      <c r="R46" s="11"/>
      <c r="Z46" t="str">
        <v>Natural Red D1305 (Seneca)</v>
      </c>
    </row>
    <row r="47" spans="1:26" x14ac:dyDescent="0.25">
      <c r="A47" s="11" t="s">
        <v>438</v>
      </c>
      <c r="B47" s="86">
        <v>0.2</v>
      </c>
      <c r="C47" s="11" t="s">
        <v>334</v>
      </c>
      <c r="D47" s="11" t="s">
        <v>323</v>
      </c>
      <c r="E47" s="76" cm="1">
        <f t="array" ref="E47">IF(LOWER(TRIM($C47))="distributed",_xlfn.XLOOKUP($D47,'Cost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47),_xlpm.hit,SUMPRODUCT((_xlpm.norm(_xlpm.items)=_xlpm.needle)*_xlpm.prices),IF(_xlpm.hit=0,"",_xlpm.hit)))</f>
        <v>19.693870145421887</v>
      </c>
      <c r="F47" s="78">
        <v>0</v>
      </c>
      <c r="G47" s="86">
        <v>0.4</v>
      </c>
      <c r="H47" s="98">
        <f t="shared" si="2"/>
        <v>32.823116909036479</v>
      </c>
      <c r="I47" s="11"/>
      <c r="L47" s="11"/>
      <c r="M47" s="11"/>
      <c r="N47" s="11"/>
      <c r="O47" s="11"/>
      <c r="P47" s="11"/>
      <c r="Q47" s="11"/>
      <c r="R47" s="11"/>
      <c r="Z47" t="str">
        <v>Natural Red D1307 (Seneca)</v>
      </c>
    </row>
    <row r="48" spans="1:26" x14ac:dyDescent="0.25">
      <c r="A48" s="11" t="s">
        <v>438</v>
      </c>
      <c r="B48" s="86">
        <v>0.2</v>
      </c>
      <c r="C48" s="11" t="s">
        <v>334</v>
      </c>
      <c r="D48" s="11" t="s">
        <v>167</v>
      </c>
      <c r="E48" s="76" cm="1">
        <f t="array" ref="E48">IF(LOWER(TRIM($C48))="distributed",_xlfn.XLOOKUP($D48,'Cost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48),_xlpm.hit,SUMPRODUCT((_xlpm.norm(_xlpm.items)=_xlpm.needle)*_xlpm.prices),IF(_xlpm.hit=0,"",_xlpm.hit)))</f>
        <v>26.095200079832356</v>
      </c>
      <c r="F48" s="78">
        <v>0</v>
      </c>
      <c r="G48" s="86">
        <v>0.4</v>
      </c>
      <c r="H48" s="98">
        <f t="shared" si="2"/>
        <v>43.492000133053928</v>
      </c>
      <c r="I48" s="11"/>
      <c r="L48" s="11"/>
      <c r="M48" s="11"/>
      <c r="N48" s="11"/>
      <c r="O48" s="11"/>
      <c r="P48" s="11"/>
      <c r="Q48" s="11"/>
      <c r="R48" s="11"/>
      <c r="Z48" t="str">
        <v>Natural Red O1312 (AroMoss)</v>
      </c>
    </row>
    <row r="49" spans="1:26" x14ac:dyDescent="0.25">
      <c r="A49" s="11"/>
      <c r="B49" s="86"/>
      <c r="C49" s="11"/>
      <c r="D49" s="11" t="s">
        <v>339</v>
      </c>
      <c r="E49" s="76" cm="1">
        <f t="array" ref="E49">IF(LOWER(TRIM($C49))="distributed",_xlfn.XLOOKUP($D49,'Cost Master List'!$B:$B,'Cost Master List'!$M:$M,"",0),_xlfn.LET(_xlpm.norm,_xlfn.LAMBDA(_xlpm.x,TRIM(SUBSTITUTE(_xlpm.x,CHAR(160),""))),_xlpm.rng,'Manufactured Items Models'!$B:$BA,_xlpm.rows,{12;24;36;48;60;72;84;96;108},_xlpm.itemCols,{1,7,13,19,25,31,37,43,49},_xlpm.priceCols,_xlpm.itemCols+3,_xlpm.items,INDEX(_xlpm.rng,_xlpm.rows,_xlpm.itemCols),_xlpm.prices,INDEX(_xlpm.rng,_xlpm.rows,_xlpm.priceCols),_xlpm.needle,_xlpm.norm($D49),_xlpm.hit,SUMPRODUCT((_xlpm.norm(_xlpm.items)=_xlpm.needle)*_xlpm.prices),IF(_xlpm.hit=0,"",_xlpm.hit)))</f>
        <v>7.60970080739538</v>
      </c>
      <c r="F49" s="78">
        <v>0</v>
      </c>
      <c r="G49" s="86">
        <v>0.34</v>
      </c>
      <c r="H49" s="98">
        <f t="shared" si="2"/>
        <v>11.529849708174819</v>
      </c>
      <c r="I49" s="11"/>
      <c r="L49" s="11"/>
      <c r="M49" s="11"/>
      <c r="N49" s="11"/>
      <c r="O49" s="11"/>
      <c r="P49" s="11"/>
      <c r="Q49" s="11"/>
      <c r="R49" s="11"/>
      <c r="Z49" t="str">
        <v>Natural Red Q1304 (Cyber Colors)</v>
      </c>
    </row>
    <row r="50" spans="1:26" x14ac:dyDescent="0.25">
      <c r="A50" s="11"/>
      <c r="B50" s="86"/>
      <c r="C50" s="11"/>
      <c r="D50" s="11"/>
      <c r="E50" s="76"/>
      <c r="F50" s="78">
        <v>0</v>
      </c>
      <c r="G50" s="86"/>
      <c r="I50" s="11"/>
      <c r="L50" s="11"/>
      <c r="M50" s="11"/>
      <c r="N50" s="11"/>
      <c r="O50" s="11"/>
      <c r="P50" s="11"/>
      <c r="Q50" s="11"/>
      <c r="R50" s="11"/>
      <c r="Z50" t="str">
        <v>Natural Red Q1404 (Cybercolors)</v>
      </c>
    </row>
    <row r="51" spans="1:26" x14ac:dyDescent="0.25">
      <c r="A51" s="11"/>
      <c r="B51" s="86"/>
      <c r="C51" s="11"/>
      <c r="D51" s="11"/>
      <c r="E51" s="76"/>
      <c r="F51" s="78">
        <v>0</v>
      </c>
      <c r="G51" s="86"/>
      <c r="I51" s="11"/>
      <c r="L51" s="11"/>
      <c r="M51" s="11"/>
      <c r="N51" s="11"/>
      <c r="O51" s="11"/>
      <c r="P51" s="11"/>
      <c r="Q51" s="11"/>
      <c r="R51" s="11"/>
      <c r="Z51" t="str">
        <v>Natural Red Q2350 (Cyber Colors)</v>
      </c>
    </row>
    <row r="52" spans="1:26" x14ac:dyDescent="0.25">
      <c r="E52" s="76"/>
      <c r="Z52" t="str">
        <v>Natural Yellow G1301 (Nutracean China)</v>
      </c>
    </row>
    <row r="53" spans="1:26" x14ac:dyDescent="0.25">
      <c r="E53" s="76"/>
      <c r="Z53" t="str">
        <v>Natural Yellow G1301 (Nutracean Slovenia)</v>
      </c>
    </row>
    <row r="54" spans="1:26" x14ac:dyDescent="0.25">
      <c r="Z54" t="str">
        <v>Natural Yellow G1301-N (Cybercolors)</v>
      </c>
    </row>
    <row r="55" spans="1:26" x14ac:dyDescent="0.25">
      <c r="Z55" t="str">
        <v>Natural Yellow G2422 (Black Label)</v>
      </c>
    </row>
    <row r="56" spans="1:26" x14ac:dyDescent="0.25">
      <c r="Z56" t="str">
        <v>Natural Yellow G2422 (Nutracean)</v>
      </c>
    </row>
    <row r="57" spans="1:26" x14ac:dyDescent="0.25">
      <c r="Z57" t="str">
        <v>Natural Yellow G3403 (Cybercolors)</v>
      </c>
    </row>
    <row r="58" spans="1:26" x14ac:dyDescent="0.25">
      <c r="Z58" t="str">
        <v>Natural Yellow H1385 (Maak)</v>
      </c>
    </row>
    <row r="59" spans="1:26" x14ac:dyDescent="0.25">
      <c r="Z59" t="str">
        <v>Natural Yellow H1385 (Synthite)</v>
      </c>
    </row>
    <row r="60" spans="1:26" x14ac:dyDescent="0.25">
      <c r="Z60" t="str">
        <v>Natural Yellow H1485 (Maak)</v>
      </c>
    </row>
    <row r="61" spans="1:26" x14ac:dyDescent="0.25">
      <c r="Z61" t="str">
        <v>Natural Yellow H1485 (Synthite)</v>
      </c>
    </row>
    <row r="62" spans="1:26" x14ac:dyDescent="0.25">
      <c r="Z62" t="str">
        <v>Natural Yellow H2395 (Maak)</v>
      </c>
    </row>
    <row r="63" spans="1:26" x14ac:dyDescent="0.25">
      <c r="Z63" t="str">
        <v>Not Assigned</v>
      </c>
    </row>
    <row r="64" spans="1:26" x14ac:dyDescent="0.25">
      <c r="Z64" t="str">
        <v>Potassium Sorbate (Brenntag)</v>
      </c>
    </row>
    <row r="65" spans="26:26" x14ac:dyDescent="0.25">
      <c r="Z65" t="str">
        <v>Propelyene Glycol*</v>
      </c>
    </row>
    <row r="66" spans="26:26" x14ac:dyDescent="0.25">
      <c r="Z66" t="str">
        <v>Purple Sweet Potato (Hiche)</v>
      </c>
    </row>
    <row r="67" spans="26:26" x14ac:dyDescent="0.25">
      <c r="Z67" t="str">
        <v>Radish (Hiche)</v>
      </c>
    </row>
    <row r="68" spans="26:26" x14ac:dyDescent="0.25">
      <c r="Z68" t="str">
        <v>Red Cabbage E60 (Nutracean)</v>
      </c>
    </row>
    <row r="69" spans="26:26" x14ac:dyDescent="0.25">
      <c r="Z69" t="str">
        <v>Red Radish EV50 (Nutracean)</v>
      </c>
    </row>
    <row r="70" spans="26:26" x14ac:dyDescent="0.25">
      <c r="Z70" t="str">
        <v>Sorbitol*</v>
      </c>
    </row>
    <row r="71" spans="26:26" x14ac:dyDescent="0.25">
      <c r="Z71" t="str">
        <v>Sun Flower Oil (Columbus Oils)</v>
      </c>
    </row>
    <row r="72" spans="26:26" x14ac:dyDescent="0.25">
      <c r="Z72" t="str">
        <v>Titanium Dioxide (Hiche)</v>
      </c>
    </row>
    <row r="73" spans="26:26" x14ac:dyDescent="0.25">
      <c r="Z73" t="str">
        <v>Tocobiol SF (BTSA)</v>
      </c>
    </row>
    <row r="74" spans="26:26" x14ac:dyDescent="0.25">
      <c r="Z74" t="str">
        <v>VeryOx 5% liquid</v>
      </c>
    </row>
    <row r="75" spans="26:26" x14ac:dyDescent="0.25">
      <c r="Z75" t="str">
        <v>VeryOx 5% powder</v>
      </c>
    </row>
    <row r="76" spans="26:26" x14ac:dyDescent="0.25">
      <c r="Z76" t="str">
        <v>VJfC Bcarrot/BIB (Dohler)</v>
      </c>
    </row>
    <row r="77" spans="26:26" x14ac:dyDescent="0.25">
      <c r="Z77" t="str">
        <v>WWI Product Code</v>
      </c>
    </row>
  </sheetData>
  <dataConsolidate/>
  <phoneticPr fontId="13" type="noConversion"/>
  <dataValidations count="1">
    <dataValidation type="list" allowBlank="1" showInputMessage="1" showErrorMessage="1" sqref="D2:D51" xr:uid="{7826E63B-E7C7-4325-81A2-81B14E14698D}">
      <formula1>IF(LOWER(TRIM($C2))="distributed",List_Distributed,List_Manufactured)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486E38-7002-41E1-B07A-1C72CE1B70DE}">
          <x14:formula1>
            <xm:f>List!$A$1:$A$4</xm:f>
          </x14:formula1>
          <xm:sqref>M2:M51</xm:sqref>
        </x14:dataValidation>
        <x14:dataValidation type="list" allowBlank="1" showInputMessage="1" showErrorMessage="1" xr:uid="{D97DF937-3F22-4DB1-8CA9-F72F391F4E0D}">
          <x14:formula1>
            <xm:f>List!$B$1:$B$13</xm:f>
          </x14:formula1>
          <xm:sqref>O2:O34</xm:sqref>
        </x14:dataValidation>
        <x14:dataValidation type="list" allowBlank="1" showInputMessage="1" showErrorMessage="1" xr:uid="{B895917E-3F80-41D2-B4F9-DE5D942ABBC3}">
          <x14:formula1>
            <xm:f>List!$C$1:$C$7</xm:f>
          </x14:formula1>
          <xm:sqref>P2:P51</xm:sqref>
        </x14:dataValidation>
        <x14:dataValidation type="list" allowBlank="1" showInputMessage="1" showErrorMessage="1" xr:uid="{7F59B654-5BBF-43E1-B8AA-150E3F905D9E}">
          <x14:formula1>
            <xm:f>List!$D$1:$D$3</xm:f>
          </x14:formula1>
          <xm:sqref>C2:C51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C4F6-2104-4DBB-9DA8-E61A4F066EF0}">
  <dimension ref="A1:BY50"/>
  <sheetViews>
    <sheetView workbookViewId="0">
      <selection activeCell="A3" sqref="A3"/>
    </sheetView>
  </sheetViews>
  <sheetFormatPr defaultRowHeight="15" x14ac:dyDescent="0.25"/>
  <cols>
    <col min="1" max="1" width="12" bestFit="1" customWidth="1"/>
    <col min="2" max="2" width="17.28515625" customWidth="1"/>
    <col min="3" max="3" width="12.5703125" bestFit="1" customWidth="1"/>
    <col min="4" max="4" width="13.42578125" bestFit="1" customWidth="1"/>
    <col min="5" max="5" width="12.5703125" bestFit="1" customWidth="1"/>
    <col min="6" max="6" width="13.42578125" bestFit="1" customWidth="1"/>
    <col min="7" max="7" width="12.28515625" bestFit="1" customWidth="1"/>
    <col min="8" max="8" width="12.5703125" bestFit="1" customWidth="1"/>
    <col min="9" max="10" width="12.28515625" bestFit="1" customWidth="1"/>
    <col min="11" max="11" width="12.5703125" bestFit="1" customWidth="1"/>
    <col min="12" max="13" width="12.28515625" bestFit="1" customWidth="1"/>
    <col min="15" max="15" width="15.7109375" customWidth="1"/>
    <col min="16" max="16" width="10" bestFit="1" customWidth="1"/>
    <col min="27" max="27" width="10.28515625" hidden="1" customWidth="1"/>
    <col min="28" max="31" width="0" hidden="1" customWidth="1"/>
    <col min="32" max="32" width="12.5703125" hidden="1" customWidth="1"/>
    <col min="33" max="36" width="0" hidden="1" customWidth="1"/>
    <col min="37" max="37" width="16.85546875" hidden="1" customWidth="1"/>
    <col min="38" max="38" width="10.5703125" hidden="1" customWidth="1"/>
    <col min="39" max="79" width="0" hidden="1" customWidth="1"/>
  </cols>
  <sheetData>
    <row r="1" spans="1:77" x14ac:dyDescent="0.25">
      <c r="A1" t="s">
        <v>286</v>
      </c>
      <c r="B1" s="75" t="s">
        <v>226</v>
      </c>
      <c r="C1" s="75" t="s">
        <v>227</v>
      </c>
      <c r="D1" s="75" t="s">
        <v>228</v>
      </c>
      <c r="E1" s="75" t="s">
        <v>229</v>
      </c>
      <c r="F1" s="75" t="s">
        <v>230</v>
      </c>
      <c r="G1" s="75" t="s">
        <v>231</v>
      </c>
      <c r="H1" s="75" t="s">
        <v>232</v>
      </c>
      <c r="I1" s="75" t="s">
        <v>233</v>
      </c>
      <c r="J1" s="75" t="s">
        <v>234</v>
      </c>
      <c r="K1" s="75" t="s">
        <v>235</v>
      </c>
      <c r="L1" s="75" t="s">
        <v>236</v>
      </c>
      <c r="M1" s="75" t="s">
        <v>237</v>
      </c>
      <c r="AA1" t="s">
        <v>226</v>
      </c>
      <c r="AB1">
        <v>1</v>
      </c>
      <c r="AC1">
        <v>0</v>
      </c>
      <c r="AE1" t="s">
        <v>349</v>
      </c>
      <c r="AF1" t="s">
        <v>350</v>
      </c>
      <c r="AG1" t="s">
        <v>299</v>
      </c>
      <c r="AH1" t="s">
        <v>351</v>
      </c>
      <c r="AI1" t="s">
        <v>352</v>
      </c>
      <c r="AJ1" t="s">
        <v>353</v>
      </c>
      <c r="AK1" t="s">
        <v>354</v>
      </c>
      <c r="AL1" t="s">
        <v>355</v>
      </c>
      <c r="AM1" t="s">
        <v>356</v>
      </c>
      <c r="AN1" t="s">
        <v>357</v>
      </c>
      <c r="AO1" t="s">
        <v>358</v>
      </c>
      <c r="AP1">
        <v>1</v>
      </c>
      <c r="AQ1">
        <v>2</v>
      </c>
      <c r="AR1">
        <v>3</v>
      </c>
      <c r="AS1">
        <v>4</v>
      </c>
      <c r="AT1">
        <v>5</v>
      </c>
      <c r="AU1">
        <v>6</v>
      </c>
      <c r="AV1">
        <v>7</v>
      </c>
      <c r="AW1">
        <v>8</v>
      </c>
      <c r="AX1">
        <v>9</v>
      </c>
      <c r="AY1">
        <v>10</v>
      </c>
      <c r="AZ1">
        <v>11</v>
      </c>
      <c r="BA1">
        <v>12</v>
      </c>
      <c r="BB1" t="s">
        <v>359</v>
      </c>
      <c r="BC1" t="s">
        <v>360</v>
      </c>
      <c r="BD1" t="s">
        <v>361</v>
      </c>
      <c r="BE1" t="s">
        <v>362</v>
      </c>
      <c r="BF1" t="s">
        <v>363</v>
      </c>
      <c r="BG1" t="s">
        <v>364</v>
      </c>
      <c r="BH1" t="s">
        <v>365</v>
      </c>
      <c r="BI1" t="s">
        <v>366</v>
      </c>
      <c r="BJ1" t="s">
        <v>367</v>
      </c>
      <c r="BK1" t="s">
        <v>368</v>
      </c>
      <c r="BL1" t="s">
        <v>369</v>
      </c>
      <c r="BM1" t="s">
        <v>370</v>
      </c>
      <c r="BN1" t="s">
        <v>371</v>
      </c>
      <c r="BO1" t="s">
        <v>372</v>
      </c>
      <c r="BP1" t="s">
        <v>373</v>
      </c>
      <c r="BQ1" t="s">
        <v>374</v>
      </c>
      <c r="BR1" t="s">
        <v>375</v>
      </c>
      <c r="BS1" t="s">
        <v>376</v>
      </c>
      <c r="BT1" t="s">
        <v>377</v>
      </c>
      <c r="BU1" t="s">
        <v>378</v>
      </c>
      <c r="BV1" t="s">
        <v>379</v>
      </c>
      <c r="BW1" t="s">
        <v>380</v>
      </c>
      <c r="BX1" t="s">
        <v>381</v>
      </c>
      <c r="BY1" t="s">
        <v>382</v>
      </c>
    </row>
    <row r="2" spans="1:77" x14ac:dyDescent="0.25">
      <c r="A2" s="87">
        <v>0.85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AA2" t="s">
        <v>227</v>
      </c>
      <c r="AB2">
        <v>2</v>
      </c>
      <c r="AC2">
        <v>1</v>
      </c>
      <c r="AE2" s="79">
        <f>'Customer Pricing'!$B2</f>
        <v>0.5</v>
      </c>
      <c r="AF2" s="77">
        <f>'Customer Pricing'!$J2</f>
        <v>84649.332298478344</v>
      </c>
      <c r="AG2" s="77">
        <f>'Customer Pricing'!$E2</f>
        <v>3.7782220972321765</v>
      </c>
      <c r="AH2">
        <f>'Customer Pricing'!$I2</f>
        <v>16000</v>
      </c>
      <c r="AI2" s="79">
        <f>'Customer Pricing'!$L2</f>
        <v>0.9</v>
      </c>
      <c r="AJ2" t="str">
        <f>'Customer Pricing'!$O2</f>
        <v>February</v>
      </c>
      <c r="AK2" t="str">
        <f>'Customer Pricing'!$P2</f>
        <v>Every Month</v>
      </c>
      <c r="AL2" cm="1">
        <f t="array" ref="AL2">IF(AJ2="",0, MATCH(LOWER(AJ2), LOWER($AA$1:$AA$12), 0))</f>
        <v>2</v>
      </c>
      <c r="AM2">
        <f>IF(ISNUMBER(SEARCH("6 week",LOWER($AK2))),0,
 IF(ISNUMBER(SEARCH("every 2",LOWER($AK2)))+ISNUMBER(SEARCH("bi-month",LOWER($AK2)))+ISNUMBER(SEARCH("bimonth",LOWER($AK2))),2,
 IF(ISNUMBER(SEARCH("quarter",LOWER($AK2))),3,
 IF(ISNUMBER(SEARCH("semi",LOWER($AK2))),6,
 IF(ISNUMBER(SEARCH("annual",LOWER($AK2))),12,1)))))</f>
        <v>1</v>
      </c>
      <c r="AN2" t="b">
        <f>ISNUMBER(SEARCH("6 week",LOWER($AK2)))</f>
        <v>0</v>
      </c>
      <c r="AO2">
        <f>SUM(AP2:BA2)</f>
        <v>11</v>
      </c>
      <c r="AP2">
        <f>IF($AN2,
   IF(AND(AP$1&gt;=$AL2, ISNUMBER(MATCH(AP$1-$AL2, $AC$1:$AC$8,0))),1,0),
   IF(AND(AP$1&gt;=$AL2, $AM2&gt;0, MOD(AP$1-$AL2, $AM2)=0),1,0)
)</f>
        <v>0</v>
      </c>
      <c r="AQ2">
        <f t="shared" ref="AQ2:BA17" si="0">IF($AN2,
   IF(AND(AQ$1&gt;=$AL2, ISNUMBER(MATCH(AQ$1-$AL2, $AC$1:$AC$8,0))),1,0),
   IF(AND(AQ$1&gt;=$AL2, $AM2&gt;0, MOD(AQ$1-$AL2, $AM2)=0),1,0)
)</f>
        <v>1</v>
      </c>
      <c r="AR2">
        <f t="shared" si="0"/>
        <v>1</v>
      </c>
      <c r="AS2">
        <f t="shared" si="0"/>
        <v>1</v>
      </c>
      <c r="AT2">
        <f t="shared" si="0"/>
        <v>1</v>
      </c>
      <c r="AU2">
        <f t="shared" si="0"/>
        <v>1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1</v>
      </c>
      <c r="AZ2">
        <f t="shared" si="0"/>
        <v>1</v>
      </c>
      <c r="BA2">
        <f t="shared" si="0"/>
        <v>1</v>
      </c>
      <c r="BB2">
        <f>IF($AE2&gt;=$A$2, IF($AO2=0,0, $AF2*$AI2/$AO2 * AP2), 0)</f>
        <v>0</v>
      </c>
      <c r="BC2">
        <f t="shared" ref="BC2:BM2" si="1">IF($AE2&gt;=$A$2, IF($AO2=0,0, $AF2*$AI2/$AO2 * AQ2), 0)</f>
        <v>0</v>
      </c>
      <c r="BD2">
        <f t="shared" si="1"/>
        <v>0</v>
      </c>
      <c r="BE2">
        <f t="shared" si="1"/>
        <v>0</v>
      </c>
      <c r="BF2">
        <f t="shared" si="1"/>
        <v>0</v>
      </c>
      <c r="BG2">
        <f t="shared" si="1"/>
        <v>0</v>
      </c>
      <c r="BH2">
        <f t="shared" si="1"/>
        <v>0</v>
      </c>
      <c r="BI2">
        <f t="shared" si="1"/>
        <v>0</v>
      </c>
      <c r="BJ2">
        <f t="shared" si="1"/>
        <v>0</v>
      </c>
      <c r="BK2">
        <f t="shared" si="1"/>
        <v>0</v>
      </c>
      <c r="BL2">
        <f t="shared" si="1"/>
        <v>0</v>
      </c>
      <c r="BM2">
        <f t="shared" si="1"/>
        <v>0</v>
      </c>
      <c r="BN2">
        <f>IF($AE2&gt;=$A$2, IF($AO2=0,0, $AG2*$AH2*$AI2/$AO2 * AP2), 0)</f>
        <v>0</v>
      </c>
      <c r="BO2">
        <f t="shared" ref="BO2:BY2" si="2">IF($AE2&gt;=$A$2, IF($AO2=0,0, $AG2*$AH2*$AI2/$AO2 * AQ2), 0)</f>
        <v>0</v>
      </c>
      <c r="BP2">
        <f t="shared" si="2"/>
        <v>0</v>
      </c>
      <c r="BQ2">
        <f t="shared" si="2"/>
        <v>0</v>
      </c>
      <c r="BR2">
        <f t="shared" si="2"/>
        <v>0</v>
      </c>
      <c r="BS2">
        <f t="shared" si="2"/>
        <v>0</v>
      </c>
      <c r="BT2">
        <f t="shared" si="2"/>
        <v>0</v>
      </c>
      <c r="BU2">
        <f t="shared" si="2"/>
        <v>0</v>
      </c>
      <c r="BV2">
        <f t="shared" si="2"/>
        <v>0</v>
      </c>
      <c r="BW2">
        <f t="shared" si="2"/>
        <v>0</v>
      </c>
      <c r="BX2">
        <f t="shared" si="2"/>
        <v>0</v>
      </c>
      <c r="BY2">
        <f t="shared" si="2"/>
        <v>0</v>
      </c>
    </row>
    <row r="3" spans="1:77" x14ac:dyDescent="0.25">
      <c r="A3" t="s">
        <v>246</v>
      </c>
      <c r="B3" s="93">
        <f>SUM(BB$2:BB$50)</f>
        <v>404089.26306703425</v>
      </c>
      <c r="C3" s="93">
        <f t="shared" ref="C3:M3" si="3">SUM(BC$2:BC$50)</f>
        <v>277550.022791303</v>
      </c>
      <c r="D3" s="93">
        <f t="shared" si="3"/>
        <v>117152.64015714794</v>
      </c>
      <c r="E3" s="93">
        <f t="shared" si="3"/>
        <v>404089.26306703425</v>
      </c>
      <c r="F3" s="93">
        <f t="shared" si="3"/>
        <v>277550.022791303</v>
      </c>
      <c r="G3" s="93">
        <f t="shared" si="3"/>
        <v>117152.64015714794</v>
      </c>
      <c r="H3" s="93">
        <f t="shared" si="3"/>
        <v>404089.26306703425</v>
      </c>
      <c r="I3" s="93">
        <f t="shared" si="3"/>
        <v>277550.022791303</v>
      </c>
      <c r="J3" s="93">
        <f t="shared" si="3"/>
        <v>117152.64015714794</v>
      </c>
      <c r="K3" s="93">
        <f t="shared" si="3"/>
        <v>404089.26306703425</v>
      </c>
      <c r="L3" s="93">
        <f t="shared" si="3"/>
        <v>277550.022791303</v>
      </c>
      <c r="M3" s="93">
        <f t="shared" si="3"/>
        <v>117152.64015714794</v>
      </c>
      <c r="O3" s="77">
        <f>SUM(B3:M3)</f>
        <v>3195167.7040619408</v>
      </c>
      <c r="AA3" t="s">
        <v>228</v>
      </c>
      <c r="AB3">
        <v>3</v>
      </c>
      <c r="AC3">
        <v>3</v>
      </c>
      <c r="AE3" s="79">
        <f>'Customer Pricing'!$B3</f>
        <v>0.5</v>
      </c>
      <c r="AF3" s="77">
        <f>'Customer Pricing'!$J3</f>
        <v>31750.383828686419</v>
      </c>
      <c r="AG3" s="77">
        <f>'Customer Pricing'!$E3</f>
        <v>26.095200079832356</v>
      </c>
      <c r="AH3">
        <f>'Customer Pricing'!$I3</f>
        <v>1000</v>
      </c>
      <c r="AI3" s="79">
        <f>'Customer Pricing'!$L3</f>
        <v>1</v>
      </c>
      <c r="AJ3" t="str">
        <f>'Customer Pricing'!$O3</f>
        <v>February</v>
      </c>
      <c r="AK3" t="str">
        <f>'Customer Pricing'!$P3</f>
        <v>Semi-Annual</v>
      </c>
      <c r="AL3" cm="1">
        <f t="array" ref="AL3">IF(AJ3="",0, MATCH(LOWER(AJ3), LOWER($AA$1:$AA$12), 0))</f>
        <v>2</v>
      </c>
      <c r="AM3">
        <f t="shared" ref="AM3:AM50" si="4">IF(ISNUMBER(SEARCH("6 week",LOWER($AK3))),0,
 IF(ISNUMBER(SEARCH("every 2",LOWER($AK3)))+ISNUMBER(SEARCH("bi-month",LOWER($AK3)))+ISNUMBER(SEARCH("bimonth",LOWER($AK3))),2,
 IF(ISNUMBER(SEARCH("quarter",LOWER($AK3))),3,
 IF(ISNUMBER(SEARCH("semi",LOWER($AK3))),6,
 IF(ISNUMBER(SEARCH("annual",LOWER($AK3))),12,1)))))</f>
        <v>6</v>
      </c>
      <c r="AN3" t="b">
        <f t="shared" ref="AN3:AN50" si="5">ISNUMBER(SEARCH("6 week",LOWER($AK3)))</f>
        <v>0</v>
      </c>
      <c r="AO3">
        <f t="shared" ref="AO3:AO50" si="6">SUM(AP3:BA3)</f>
        <v>2</v>
      </c>
      <c r="AP3">
        <f t="shared" ref="AP3:BA37" si="7">IF($AN3,
   IF(AND(AP$1&gt;=$AL3, ISNUMBER(MATCH(AP$1-$AL3, $AC$1:$AC$8,0))),1,0),
   IF(AND(AP$1&gt;=$AL3, $AM3&gt;0, MOD(AP$1-$AL3, $AM3)=0),1,0)
)</f>
        <v>0</v>
      </c>
      <c r="AQ3">
        <f t="shared" si="0"/>
        <v>1</v>
      </c>
      <c r="AR3">
        <f t="shared" si="0"/>
        <v>0</v>
      </c>
      <c r="AS3">
        <f t="shared" si="0"/>
        <v>0</v>
      </c>
      <c r="AT3">
        <f t="shared" si="0"/>
        <v>0</v>
      </c>
      <c r="AU3">
        <f t="shared" si="0"/>
        <v>0</v>
      </c>
      <c r="AV3">
        <f t="shared" si="0"/>
        <v>0</v>
      </c>
      <c r="AW3">
        <f t="shared" si="0"/>
        <v>1</v>
      </c>
      <c r="AX3">
        <f t="shared" si="0"/>
        <v>0</v>
      </c>
      <c r="AY3">
        <f t="shared" si="0"/>
        <v>0</v>
      </c>
      <c r="AZ3">
        <f t="shared" si="0"/>
        <v>0</v>
      </c>
      <c r="BA3">
        <f t="shared" si="0"/>
        <v>0</v>
      </c>
      <c r="BB3">
        <f t="shared" ref="BB3:BB50" si="8">IF($AE3&gt;=$A$2, IF($AO3=0,0, $AF3*$AI3/$AO3 * AP3), 0)</f>
        <v>0</v>
      </c>
      <c r="BC3">
        <f t="shared" ref="BC3:BC50" si="9">IF($AE3&gt;=$A$2, IF($AO3=0,0, $AF3*$AI3/$AO3 * AQ3), 0)</f>
        <v>0</v>
      </c>
      <c r="BD3">
        <f t="shared" ref="BD3:BD50" si="10">IF($AE3&gt;=$A$2, IF($AO3=0,0, $AF3*$AI3/$AO3 * AR3), 0)</f>
        <v>0</v>
      </c>
      <c r="BE3">
        <f t="shared" ref="BE3:BE50" si="11">IF($AE3&gt;=$A$2, IF($AO3=0,0, $AF3*$AI3/$AO3 * AS3), 0)</f>
        <v>0</v>
      </c>
      <c r="BF3">
        <f t="shared" ref="BF3:BF50" si="12">IF($AE3&gt;=$A$2, IF($AO3=0,0, $AF3*$AI3/$AO3 * AT3), 0)</f>
        <v>0</v>
      </c>
      <c r="BG3">
        <f t="shared" ref="BG3:BG50" si="13">IF($AE3&gt;=$A$2, IF($AO3=0,0, $AF3*$AI3/$AO3 * AU3), 0)</f>
        <v>0</v>
      </c>
      <c r="BH3">
        <f t="shared" ref="BH3:BH50" si="14">IF($AE3&gt;=$A$2, IF($AO3=0,0, $AF3*$AI3/$AO3 * AV3), 0)</f>
        <v>0</v>
      </c>
      <c r="BI3">
        <f t="shared" ref="BI3:BI50" si="15">IF($AE3&gt;=$A$2, IF($AO3=0,0, $AF3*$AI3/$AO3 * AW3), 0)</f>
        <v>0</v>
      </c>
      <c r="BJ3">
        <f t="shared" ref="BJ3:BJ50" si="16">IF($AE3&gt;=$A$2, IF($AO3=0,0, $AF3*$AI3/$AO3 * AX3), 0)</f>
        <v>0</v>
      </c>
      <c r="BK3">
        <f t="shared" ref="BK3:BK50" si="17">IF($AE3&gt;=$A$2, IF($AO3=0,0, $AF3*$AI3/$AO3 * AY3), 0)</f>
        <v>0</v>
      </c>
      <c r="BL3">
        <f t="shared" ref="BL3:BL50" si="18">IF($AE3&gt;=$A$2, IF($AO3=0,0, $AF3*$AI3/$AO3 * AZ3), 0)</f>
        <v>0</v>
      </c>
      <c r="BM3">
        <f t="shared" ref="BM3:BM50" si="19">IF($AE3&gt;=$A$2, IF($AO3=0,0, $AF3*$AI3/$AO3 * BA3), 0)</f>
        <v>0</v>
      </c>
      <c r="BN3">
        <f t="shared" ref="BN3:BN50" si="20">IF($AE3&gt;=$A$2, IF($AO3=0,0, $AG3*$AH3*$AI3/$AO3 * AP3), 0)</f>
        <v>0</v>
      </c>
      <c r="BO3">
        <f t="shared" ref="BO3:BO50" si="21">IF($AE3&gt;=$A$2, IF($AO3=0,0, $AG3*$AH3*$AI3/$AO3 * AQ3), 0)</f>
        <v>0</v>
      </c>
      <c r="BP3">
        <f t="shared" ref="BP3:BP50" si="22">IF($AE3&gt;=$A$2, IF($AO3=0,0, $AG3*$AH3*$AI3/$AO3 * AR3), 0)</f>
        <v>0</v>
      </c>
      <c r="BQ3">
        <f t="shared" ref="BQ3:BQ50" si="23">IF($AE3&gt;=$A$2, IF($AO3=0,0, $AG3*$AH3*$AI3/$AO3 * AS3), 0)</f>
        <v>0</v>
      </c>
      <c r="BR3">
        <f t="shared" ref="BR3:BR50" si="24">IF($AE3&gt;=$A$2, IF($AO3=0,0, $AG3*$AH3*$AI3/$AO3 * AT3), 0)</f>
        <v>0</v>
      </c>
      <c r="BS3">
        <f t="shared" ref="BS3:BS50" si="25">IF($AE3&gt;=$A$2, IF($AO3=0,0, $AG3*$AH3*$AI3/$AO3 * AU3), 0)</f>
        <v>0</v>
      </c>
      <c r="BT3">
        <f t="shared" ref="BT3:BT50" si="26">IF($AE3&gt;=$A$2, IF($AO3=0,0, $AG3*$AH3*$AI3/$AO3 * AV3), 0)</f>
        <v>0</v>
      </c>
      <c r="BU3">
        <f t="shared" ref="BU3:BU50" si="27">IF($AE3&gt;=$A$2, IF($AO3=0,0, $AG3*$AH3*$AI3/$AO3 * AW3), 0)</f>
        <v>0</v>
      </c>
      <c r="BV3">
        <f t="shared" ref="BV3:BV50" si="28">IF($AE3&gt;=$A$2, IF($AO3=0,0, $AG3*$AH3*$AI3/$AO3 * AX3), 0)</f>
        <v>0</v>
      </c>
      <c r="BW3">
        <f t="shared" ref="BW3:BW50" si="29">IF($AE3&gt;=$A$2, IF($AO3=0,0, $AG3*$AH3*$AI3/$AO3 * AY3), 0)</f>
        <v>0</v>
      </c>
      <c r="BX3">
        <f t="shared" ref="BX3:BX50" si="30">IF($AE3&gt;=$A$2, IF($AO3=0,0, $AG3*$AH3*$AI3/$AO3 * AZ3), 0)</f>
        <v>0</v>
      </c>
      <c r="BY3">
        <f t="shared" ref="BY3:BY50" si="31">IF($AE3&gt;=$A$2, IF($AO3=0,0, $AG3*$AH3*$AI3/$AO3 * BA3), 0)</f>
        <v>0</v>
      </c>
    </row>
    <row r="4" spans="1:77" x14ac:dyDescent="0.25">
      <c r="A4" t="s">
        <v>247</v>
      </c>
      <c r="B4" s="76">
        <f>SUM(BN$2:BN$50)</f>
        <v>287487.21417969232</v>
      </c>
      <c r="C4" s="76">
        <f t="shared" ref="C4:M4" si="32">SUM(BO$2:BO$50)</f>
        <v>186660.27369108208</v>
      </c>
      <c r="D4" s="76">
        <f t="shared" si="32"/>
        <v>80482.593410580215</v>
      </c>
      <c r="E4" s="76">
        <f t="shared" si="32"/>
        <v>287487.21417969232</v>
      </c>
      <c r="F4" s="76">
        <f t="shared" si="32"/>
        <v>186660.27369108208</v>
      </c>
      <c r="G4" s="76">
        <f t="shared" si="32"/>
        <v>80482.593410580215</v>
      </c>
      <c r="H4" s="76">
        <f t="shared" si="32"/>
        <v>287487.21417969232</v>
      </c>
      <c r="I4" s="76">
        <f t="shared" si="32"/>
        <v>186660.27369108208</v>
      </c>
      <c r="J4" s="76">
        <f t="shared" si="32"/>
        <v>80482.593410580215</v>
      </c>
      <c r="K4" s="76">
        <f t="shared" si="32"/>
        <v>287487.21417969232</v>
      </c>
      <c r="L4" s="76">
        <f t="shared" si="32"/>
        <v>186660.27369108208</v>
      </c>
      <c r="M4" s="76">
        <f t="shared" si="32"/>
        <v>80482.593410580215</v>
      </c>
      <c r="O4" s="77">
        <f t="shared" ref="O4:O10" si="33">SUM(B4:M4)</f>
        <v>2218520.3251254186</v>
      </c>
      <c r="AA4" t="s">
        <v>229</v>
      </c>
      <c r="AB4">
        <v>4</v>
      </c>
      <c r="AC4">
        <v>4</v>
      </c>
      <c r="AE4" s="79">
        <f>'Customer Pricing'!$B4</f>
        <v>0.1</v>
      </c>
      <c r="AF4" s="77">
        <f>'Customer Pricing'!$J4</f>
        <v>0</v>
      </c>
      <c r="AG4" s="77">
        <f>'Customer Pricing'!$E4</f>
        <v>20.375506890076295</v>
      </c>
      <c r="AH4">
        <f>'Customer Pricing'!$I4</f>
        <v>1600</v>
      </c>
      <c r="AI4" s="79">
        <f>'Customer Pricing'!$L4</f>
        <v>0.5</v>
      </c>
      <c r="AJ4" t="str">
        <f>'Customer Pricing'!$O4</f>
        <v>June</v>
      </c>
      <c r="AK4" t="str">
        <f>'Customer Pricing'!$P4</f>
        <v>Every Other Month</v>
      </c>
      <c r="AL4" cm="1">
        <f t="array" ref="AL4">IF(AJ4="",0, MATCH(LOWER(AJ4), LOWER($AA$1:$AA$12), 0))</f>
        <v>6</v>
      </c>
      <c r="AM4">
        <f t="shared" si="4"/>
        <v>1</v>
      </c>
      <c r="AN4" t="b">
        <f t="shared" si="5"/>
        <v>0</v>
      </c>
      <c r="AO4">
        <f t="shared" si="6"/>
        <v>7</v>
      </c>
      <c r="AP4">
        <f t="shared" si="7"/>
        <v>0</v>
      </c>
      <c r="AQ4">
        <f t="shared" si="0"/>
        <v>0</v>
      </c>
      <c r="AR4">
        <f t="shared" si="0"/>
        <v>0</v>
      </c>
      <c r="AS4">
        <f t="shared" si="0"/>
        <v>0</v>
      </c>
      <c r="AT4">
        <f t="shared" si="0"/>
        <v>0</v>
      </c>
      <c r="AU4">
        <f t="shared" si="0"/>
        <v>1</v>
      </c>
      <c r="AV4">
        <f t="shared" si="0"/>
        <v>1</v>
      </c>
      <c r="AW4">
        <f t="shared" si="0"/>
        <v>1</v>
      </c>
      <c r="AX4">
        <f t="shared" si="0"/>
        <v>1</v>
      </c>
      <c r="AY4">
        <f t="shared" si="0"/>
        <v>1</v>
      </c>
      <c r="AZ4">
        <f t="shared" si="0"/>
        <v>1</v>
      </c>
      <c r="BA4">
        <f t="shared" si="0"/>
        <v>1</v>
      </c>
      <c r="BB4">
        <f t="shared" si="8"/>
        <v>0</v>
      </c>
      <c r="BC4">
        <f t="shared" si="9"/>
        <v>0</v>
      </c>
      <c r="BD4">
        <f t="shared" si="10"/>
        <v>0</v>
      </c>
      <c r="BE4">
        <f t="shared" si="11"/>
        <v>0</v>
      </c>
      <c r="BF4">
        <f t="shared" si="12"/>
        <v>0</v>
      </c>
      <c r="BG4">
        <f t="shared" si="13"/>
        <v>0</v>
      </c>
      <c r="BH4">
        <f t="shared" si="14"/>
        <v>0</v>
      </c>
      <c r="BI4">
        <f t="shared" si="15"/>
        <v>0</v>
      </c>
      <c r="BJ4">
        <f t="shared" si="16"/>
        <v>0</v>
      </c>
      <c r="BK4">
        <f t="shared" si="17"/>
        <v>0</v>
      </c>
      <c r="BL4">
        <f t="shared" si="18"/>
        <v>0</v>
      </c>
      <c r="BM4">
        <f t="shared" si="19"/>
        <v>0</v>
      </c>
      <c r="BN4">
        <f t="shared" si="20"/>
        <v>0</v>
      </c>
      <c r="BO4">
        <f t="shared" si="21"/>
        <v>0</v>
      </c>
      <c r="BP4">
        <f t="shared" si="22"/>
        <v>0</v>
      </c>
      <c r="BQ4">
        <f t="shared" si="23"/>
        <v>0</v>
      </c>
      <c r="BR4">
        <f t="shared" si="24"/>
        <v>0</v>
      </c>
      <c r="BS4">
        <f t="shared" si="25"/>
        <v>0</v>
      </c>
      <c r="BT4">
        <f t="shared" si="26"/>
        <v>0</v>
      </c>
      <c r="BU4">
        <f t="shared" si="27"/>
        <v>0</v>
      </c>
      <c r="BV4">
        <f t="shared" si="28"/>
        <v>0</v>
      </c>
      <c r="BW4">
        <f t="shared" si="29"/>
        <v>0</v>
      </c>
      <c r="BX4">
        <f t="shared" si="30"/>
        <v>0</v>
      </c>
      <c r="BY4">
        <f t="shared" si="31"/>
        <v>0</v>
      </c>
    </row>
    <row r="5" spans="1:77" x14ac:dyDescent="0.25">
      <c r="A5" t="s">
        <v>248</v>
      </c>
      <c r="B5" s="76">
        <f>+B3-B4</f>
        <v>116602.04888734192</v>
      </c>
      <c r="C5" s="76">
        <f t="shared" ref="C5:L5" si="34">+C3-C4</f>
        <v>90889.749100220914</v>
      </c>
      <c r="D5" s="76">
        <f t="shared" si="34"/>
        <v>36670.046746567721</v>
      </c>
      <c r="E5" s="76">
        <f t="shared" si="34"/>
        <v>116602.04888734192</v>
      </c>
      <c r="F5" s="76">
        <f t="shared" si="34"/>
        <v>90889.749100220914</v>
      </c>
      <c r="G5" s="76">
        <f t="shared" si="34"/>
        <v>36670.046746567721</v>
      </c>
      <c r="H5" s="76">
        <f t="shared" si="34"/>
        <v>116602.04888734192</v>
      </c>
      <c r="I5" s="76">
        <f t="shared" si="34"/>
        <v>90889.749100220914</v>
      </c>
      <c r="J5" s="76">
        <f t="shared" si="34"/>
        <v>36670.046746567721</v>
      </c>
      <c r="K5" s="76">
        <f t="shared" si="34"/>
        <v>116602.04888734192</v>
      </c>
      <c r="L5" s="76">
        <f t="shared" si="34"/>
        <v>90889.749100220914</v>
      </c>
      <c r="M5" s="76">
        <f>+M3-M4</f>
        <v>36670.046746567721</v>
      </c>
      <c r="O5" s="77">
        <f t="shared" si="33"/>
        <v>976647.37893652206</v>
      </c>
      <c r="P5" s="80">
        <f>O5/O3</f>
        <v>0.30566388665450439</v>
      </c>
      <c r="AA5" t="s">
        <v>230</v>
      </c>
      <c r="AB5">
        <v>5</v>
      </c>
      <c r="AC5">
        <v>6</v>
      </c>
      <c r="AE5" s="79">
        <f>'Customer Pricing'!$B5</f>
        <v>0.6</v>
      </c>
      <c r="AF5" s="77">
        <f>'Customer Pricing'!$J5</f>
        <v>34360.009871523987</v>
      </c>
      <c r="AG5" s="77">
        <f>'Customer Pricing'!$E5</f>
        <v>18.115125808529367</v>
      </c>
      <c r="AH5">
        <f>'Customer Pricing'!$I5</f>
        <v>1000</v>
      </c>
      <c r="AI5" s="79">
        <f>'Customer Pricing'!$L5</f>
        <v>1</v>
      </c>
      <c r="AJ5" t="str">
        <f>'Customer Pricing'!$O5</f>
        <v>March</v>
      </c>
      <c r="AK5" t="str">
        <f>'Customer Pricing'!$P5</f>
        <v>Quarterly</v>
      </c>
      <c r="AL5" cm="1">
        <f t="array" ref="AL5">IF(AJ5="",0, MATCH(LOWER(AJ5), LOWER($AA$1:$AA$12), 0))</f>
        <v>3</v>
      </c>
      <c r="AM5">
        <f t="shared" si="4"/>
        <v>3</v>
      </c>
      <c r="AN5" t="b">
        <f t="shared" si="5"/>
        <v>0</v>
      </c>
      <c r="AO5">
        <f t="shared" si="6"/>
        <v>4</v>
      </c>
      <c r="AP5">
        <f t="shared" si="7"/>
        <v>0</v>
      </c>
      <c r="AQ5">
        <f t="shared" si="0"/>
        <v>0</v>
      </c>
      <c r="AR5">
        <f t="shared" si="0"/>
        <v>1</v>
      </c>
      <c r="AS5">
        <f t="shared" si="0"/>
        <v>0</v>
      </c>
      <c r="AT5">
        <f t="shared" si="0"/>
        <v>0</v>
      </c>
      <c r="AU5">
        <f t="shared" si="0"/>
        <v>1</v>
      </c>
      <c r="AV5">
        <f t="shared" si="0"/>
        <v>0</v>
      </c>
      <c r="AW5">
        <f t="shared" si="0"/>
        <v>0</v>
      </c>
      <c r="AX5">
        <f t="shared" si="0"/>
        <v>1</v>
      </c>
      <c r="AY5">
        <f t="shared" si="0"/>
        <v>0</v>
      </c>
      <c r="AZ5">
        <f t="shared" si="0"/>
        <v>0</v>
      </c>
      <c r="BA5">
        <f t="shared" si="0"/>
        <v>1</v>
      </c>
      <c r="BB5">
        <f t="shared" si="8"/>
        <v>0</v>
      </c>
      <c r="BC5">
        <f t="shared" si="9"/>
        <v>0</v>
      </c>
      <c r="BD5">
        <f t="shared" si="10"/>
        <v>0</v>
      </c>
      <c r="BE5">
        <f t="shared" si="11"/>
        <v>0</v>
      </c>
      <c r="BF5">
        <f t="shared" si="12"/>
        <v>0</v>
      </c>
      <c r="BG5">
        <f t="shared" si="13"/>
        <v>0</v>
      </c>
      <c r="BH5">
        <f t="shared" si="14"/>
        <v>0</v>
      </c>
      <c r="BI5">
        <f t="shared" si="15"/>
        <v>0</v>
      </c>
      <c r="BJ5">
        <f t="shared" si="16"/>
        <v>0</v>
      </c>
      <c r="BK5">
        <f t="shared" si="17"/>
        <v>0</v>
      </c>
      <c r="BL5">
        <f t="shared" si="18"/>
        <v>0</v>
      </c>
      <c r="BM5">
        <f t="shared" si="19"/>
        <v>0</v>
      </c>
      <c r="BN5">
        <f t="shared" si="20"/>
        <v>0</v>
      </c>
      <c r="BO5">
        <f t="shared" si="21"/>
        <v>0</v>
      </c>
      <c r="BP5">
        <f t="shared" si="22"/>
        <v>0</v>
      </c>
      <c r="BQ5">
        <f t="shared" si="23"/>
        <v>0</v>
      </c>
      <c r="BR5">
        <f t="shared" si="24"/>
        <v>0</v>
      </c>
      <c r="BS5">
        <f t="shared" si="25"/>
        <v>0</v>
      </c>
      <c r="BT5">
        <f t="shared" si="26"/>
        <v>0</v>
      </c>
      <c r="BU5">
        <f t="shared" si="27"/>
        <v>0</v>
      </c>
      <c r="BV5">
        <f t="shared" si="28"/>
        <v>0</v>
      </c>
      <c r="BW5">
        <f t="shared" si="29"/>
        <v>0</v>
      </c>
      <c r="BX5">
        <f t="shared" si="30"/>
        <v>0</v>
      </c>
      <c r="BY5">
        <f t="shared" si="31"/>
        <v>0</v>
      </c>
    </row>
    <row r="6" spans="1:77" x14ac:dyDescent="0.25">
      <c r="O6" s="77">
        <f t="shared" si="33"/>
        <v>0</v>
      </c>
      <c r="AA6" t="s">
        <v>231</v>
      </c>
      <c r="AB6">
        <v>6</v>
      </c>
      <c r="AC6">
        <v>7</v>
      </c>
      <c r="AE6" s="79">
        <f>'Customer Pricing'!$B6</f>
        <v>0</v>
      </c>
      <c r="AF6" s="77">
        <f>'Customer Pricing'!$J6</f>
        <v>0</v>
      </c>
      <c r="AG6" s="77">
        <f>'Customer Pricing'!$E6</f>
        <v>39.444964964483681</v>
      </c>
      <c r="AH6">
        <f>'Customer Pricing'!$I6</f>
        <v>0</v>
      </c>
      <c r="AI6" s="79">
        <f>'Customer Pricing'!$L6</f>
        <v>0</v>
      </c>
      <c r="AJ6">
        <f>'Customer Pricing'!$O6</f>
        <v>0</v>
      </c>
      <c r="AK6">
        <f>'Customer Pricing'!$P6</f>
        <v>0</v>
      </c>
      <c r="AL6" t="e" cm="1">
        <f t="array" ref="AL6">IF(AJ6="",0, MATCH(LOWER(AJ6), LOWER($AA$1:$AA$12), 0))</f>
        <v>#N/A</v>
      </c>
      <c r="AM6">
        <f t="shared" si="4"/>
        <v>1</v>
      </c>
      <c r="AN6" t="b">
        <f t="shared" si="5"/>
        <v>0</v>
      </c>
      <c r="AO6" t="e">
        <f t="shared" si="6"/>
        <v>#N/A</v>
      </c>
      <c r="AP6" t="e">
        <f t="shared" si="7"/>
        <v>#N/A</v>
      </c>
      <c r="AQ6" t="e">
        <f t="shared" si="0"/>
        <v>#N/A</v>
      </c>
      <c r="AR6" t="e">
        <f t="shared" si="0"/>
        <v>#N/A</v>
      </c>
      <c r="AS6" t="e">
        <f t="shared" si="0"/>
        <v>#N/A</v>
      </c>
      <c r="AT6" t="e">
        <f t="shared" si="0"/>
        <v>#N/A</v>
      </c>
      <c r="AU6" t="e">
        <f t="shared" si="0"/>
        <v>#N/A</v>
      </c>
      <c r="AV6" t="e">
        <f t="shared" si="0"/>
        <v>#N/A</v>
      </c>
      <c r="AW6" t="e">
        <f t="shared" si="0"/>
        <v>#N/A</v>
      </c>
      <c r="AX6" t="e">
        <f t="shared" si="0"/>
        <v>#N/A</v>
      </c>
      <c r="AY6" t="e">
        <f t="shared" si="0"/>
        <v>#N/A</v>
      </c>
      <c r="AZ6" t="e">
        <f t="shared" si="0"/>
        <v>#N/A</v>
      </c>
      <c r="BA6" t="e">
        <f t="shared" si="0"/>
        <v>#N/A</v>
      </c>
      <c r="BB6">
        <f t="shared" si="8"/>
        <v>0</v>
      </c>
      <c r="BC6">
        <f t="shared" si="9"/>
        <v>0</v>
      </c>
      <c r="BD6">
        <f t="shared" si="10"/>
        <v>0</v>
      </c>
      <c r="BE6">
        <f t="shared" si="11"/>
        <v>0</v>
      </c>
      <c r="BF6">
        <f t="shared" si="12"/>
        <v>0</v>
      </c>
      <c r="BG6">
        <f t="shared" si="13"/>
        <v>0</v>
      </c>
      <c r="BH6">
        <f t="shared" si="14"/>
        <v>0</v>
      </c>
      <c r="BI6">
        <f t="shared" si="15"/>
        <v>0</v>
      </c>
      <c r="BJ6">
        <f t="shared" si="16"/>
        <v>0</v>
      </c>
      <c r="BK6">
        <f t="shared" si="17"/>
        <v>0</v>
      </c>
      <c r="BL6">
        <f t="shared" si="18"/>
        <v>0</v>
      </c>
      <c r="BM6">
        <f t="shared" si="19"/>
        <v>0</v>
      </c>
      <c r="BN6">
        <f t="shared" si="20"/>
        <v>0</v>
      </c>
      <c r="BO6">
        <f t="shared" si="21"/>
        <v>0</v>
      </c>
      <c r="BP6">
        <f t="shared" si="22"/>
        <v>0</v>
      </c>
      <c r="BQ6">
        <f t="shared" si="23"/>
        <v>0</v>
      </c>
      <c r="BR6">
        <f t="shared" si="24"/>
        <v>0</v>
      </c>
      <c r="BS6">
        <f t="shared" si="25"/>
        <v>0</v>
      </c>
      <c r="BT6">
        <f t="shared" si="26"/>
        <v>0</v>
      </c>
      <c r="BU6">
        <f t="shared" si="27"/>
        <v>0</v>
      </c>
      <c r="BV6">
        <f t="shared" si="28"/>
        <v>0</v>
      </c>
      <c r="BW6">
        <f t="shared" si="29"/>
        <v>0</v>
      </c>
      <c r="BX6">
        <f t="shared" si="30"/>
        <v>0</v>
      </c>
      <c r="BY6">
        <f t="shared" si="31"/>
        <v>0</v>
      </c>
    </row>
    <row r="7" spans="1:77" x14ac:dyDescent="0.25">
      <c r="A7" t="s">
        <v>250</v>
      </c>
      <c r="B7" s="77">
        <f>+'Operating Expenses'!B34</f>
        <v>14315</v>
      </c>
      <c r="C7" s="77">
        <f>+'Operating Expenses'!C34</f>
        <v>19135</v>
      </c>
      <c r="D7" s="77">
        <f>+'Operating Expenses'!D34</f>
        <v>33150</v>
      </c>
      <c r="E7" s="77">
        <f>+'Operating Expenses'!E34</f>
        <v>33965</v>
      </c>
      <c r="F7" s="77">
        <f>+'Operating Expenses'!F34</f>
        <v>39465</v>
      </c>
      <c r="G7" s="77">
        <f>+'Operating Expenses'!G34</f>
        <v>39515</v>
      </c>
      <c r="H7" s="77">
        <f>+'Operating Expenses'!H34</f>
        <v>115565</v>
      </c>
      <c r="I7" s="77">
        <f>+'Operating Expenses'!I34</f>
        <v>38540</v>
      </c>
      <c r="J7" s="77">
        <f>+'Operating Expenses'!J34</f>
        <v>39915</v>
      </c>
      <c r="K7" s="77">
        <f>+'Operating Expenses'!K34</f>
        <v>37965</v>
      </c>
      <c r="L7" s="77">
        <f>+'Operating Expenses'!L34</f>
        <v>35965</v>
      </c>
      <c r="M7" s="77">
        <f>+'Operating Expenses'!M34</f>
        <v>36165</v>
      </c>
      <c r="O7" s="77">
        <f t="shared" si="33"/>
        <v>483660</v>
      </c>
      <c r="AA7" t="s">
        <v>232</v>
      </c>
      <c r="AB7">
        <v>7</v>
      </c>
      <c r="AC7">
        <v>9</v>
      </c>
      <c r="AE7" s="79">
        <f>'Customer Pricing'!$B7</f>
        <v>1</v>
      </c>
      <c r="AF7" s="77">
        <f>'Customer Pricing'!$J7</f>
        <v>430044.24093831732</v>
      </c>
      <c r="AG7" s="77">
        <f>'Customer Pricing'!$E7</f>
        <v>7.60970080739538</v>
      </c>
      <c r="AH7">
        <f>'Customer Pricing'!$I7</f>
        <v>47000</v>
      </c>
      <c r="AI7" s="79">
        <f>'Customer Pricing'!$L7</f>
        <v>1</v>
      </c>
      <c r="AJ7" t="str">
        <f>'Customer Pricing'!$O7</f>
        <v>January</v>
      </c>
      <c r="AK7" t="str">
        <f>'Customer Pricing'!$P7</f>
        <v>Every Month</v>
      </c>
      <c r="AL7" cm="1">
        <f t="array" ref="AL7">IF(AJ7="",0, MATCH(LOWER(AJ7), LOWER($AA$1:$AA$12), 0))</f>
        <v>1</v>
      </c>
      <c r="AM7">
        <f t="shared" si="4"/>
        <v>1</v>
      </c>
      <c r="AN7" t="b">
        <f t="shared" si="5"/>
        <v>0</v>
      </c>
      <c r="AO7">
        <f t="shared" si="6"/>
        <v>12</v>
      </c>
      <c r="AP7">
        <f t="shared" si="7"/>
        <v>1</v>
      </c>
      <c r="AQ7">
        <f t="shared" si="0"/>
        <v>1</v>
      </c>
      <c r="AR7">
        <f t="shared" si="0"/>
        <v>1</v>
      </c>
      <c r="AS7">
        <f t="shared" si="0"/>
        <v>1</v>
      </c>
      <c r="AT7">
        <f t="shared" si="0"/>
        <v>1</v>
      </c>
      <c r="AU7">
        <f t="shared" si="0"/>
        <v>1</v>
      </c>
      <c r="AV7">
        <f t="shared" si="0"/>
        <v>1</v>
      </c>
      <c r="AW7">
        <f t="shared" si="0"/>
        <v>1</v>
      </c>
      <c r="AX7">
        <f t="shared" si="0"/>
        <v>1</v>
      </c>
      <c r="AY7">
        <f t="shared" si="0"/>
        <v>1</v>
      </c>
      <c r="AZ7">
        <f t="shared" si="0"/>
        <v>1</v>
      </c>
      <c r="BA7">
        <f t="shared" si="0"/>
        <v>1</v>
      </c>
      <c r="BB7">
        <f t="shared" si="8"/>
        <v>35837.020078193113</v>
      </c>
      <c r="BC7">
        <f t="shared" si="9"/>
        <v>35837.020078193113</v>
      </c>
      <c r="BD7">
        <f t="shared" si="10"/>
        <v>35837.020078193113</v>
      </c>
      <c r="BE7">
        <f t="shared" si="11"/>
        <v>35837.020078193113</v>
      </c>
      <c r="BF7">
        <f t="shared" si="12"/>
        <v>35837.020078193113</v>
      </c>
      <c r="BG7">
        <f t="shared" si="13"/>
        <v>35837.020078193113</v>
      </c>
      <c r="BH7">
        <f t="shared" si="14"/>
        <v>35837.020078193113</v>
      </c>
      <c r="BI7">
        <f t="shared" si="15"/>
        <v>35837.020078193113</v>
      </c>
      <c r="BJ7">
        <f t="shared" si="16"/>
        <v>35837.020078193113</v>
      </c>
      <c r="BK7">
        <f t="shared" si="17"/>
        <v>35837.020078193113</v>
      </c>
      <c r="BL7">
        <f t="shared" si="18"/>
        <v>35837.020078193113</v>
      </c>
      <c r="BM7">
        <f t="shared" si="19"/>
        <v>35837.020078193113</v>
      </c>
      <c r="BN7">
        <f t="shared" si="20"/>
        <v>29804.661495631906</v>
      </c>
      <c r="BO7">
        <f t="shared" si="21"/>
        <v>29804.661495631906</v>
      </c>
      <c r="BP7">
        <f t="shared" si="22"/>
        <v>29804.661495631906</v>
      </c>
      <c r="BQ7">
        <f t="shared" si="23"/>
        <v>29804.661495631906</v>
      </c>
      <c r="BR7">
        <f t="shared" si="24"/>
        <v>29804.661495631906</v>
      </c>
      <c r="BS7">
        <f t="shared" si="25"/>
        <v>29804.661495631906</v>
      </c>
      <c r="BT7">
        <f t="shared" si="26"/>
        <v>29804.661495631906</v>
      </c>
      <c r="BU7">
        <f t="shared" si="27"/>
        <v>29804.661495631906</v>
      </c>
      <c r="BV7">
        <f t="shared" si="28"/>
        <v>29804.661495631906</v>
      </c>
      <c r="BW7">
        <f t="shared" si="29"/>
        <v>29804.661495631906</v>
      </c>
      <c r="BX7">
        <f t="shared" si="30"/>
        <v>29804.661495631906</v>
      </c>
      <c r="BY7">
        <f t="shared" si="31"/>
        <v>29804.661495631906</v>
      </c>
    </row>
    <row r="8" spans="1:77" x14ac:dyDescent="0.25">
      <c r="A8" t="s">
        <v>251</v>
      </c>
      <c r="B8" s="77">
        <f>+B5-B7</f>
        <v>102287.04888734192</v>
      </c>
      <c r="C8" s="77">
        <f t="shared" ref="C8:M8" si="35">+C5-C7</f>
        <v>71754.749100220914</v>
      </c>
      <c r="D8" s="77">
        <f t="shared" si="35"/>
        <v>3520.0467465677211</v>
      </c>
      <c r="E8" s="77">
        <f t="shared" si="35"/>
        <v>82637.048887341924</v>
      </c>
      <c r="F8" s="77">
        <f t="shared" si="35"/>
        <v>51424.749100220914</v>
      </c>
      <c r="G8" s="77">
        <f t="shared" si="35"/>
        <v>-2844.9532534322789</v>
      </c>
      <c r="H8" s="77">
        <f t="shared" si="35"/>
        <v>1037.0488873419235</v>
      </c>
      <c r="I8" s="77">
        <f t="shared" si="35"/>
        <v>52349.749100220914</v>
      </c>
      <c r="J8" s="77">
        <f t="shared" si="35"/>
        <v>-3244.9532534322789</v>
      </c>
      <c r="K8" s="77">
        <f t="shared" si="35"/>
        <v>78637.048887341924</v>
      </c>
      <c r="L8" s="77">
        <f t="shared" si="35"/>
        <v>54924.749100220914</v>
      </c>
      <c r="M8" s="77">
        <f t="shared" si="35"/>
        <v>505.04674656772113</v>
      </c>
      <c r="O8" s="77">
        <f t="shared" si="33"/>
        <v>492987.37893652217</v>
      </c>
      <c r="AA8" t="s">
        <v>233</v>
      </c>
      <c r="AB8">
        <v>8</v>
      </c>
      <c r="AC8">
        <v>10</v>
      </c>
      <c r="AE8" s="79">
        <f>'Customer Pricing'!$B8</f>
        <v>1</v>
      </c>
      <c r="AF8" s="77">
        <f>'Customer Pricing'!$J8</f>
        <v>32690.255402014402</v>
      </c>
      <c r="AG8" s="77">
        <f>'Customer Pricing'!$E8</f>
        <v>21.384184122433801</v>
      </c>
      <c r="AH8">
        <f>'Customer Pricing'!$I8</f>
        <v>1000</v>
      </c>
      <c r="AI8" s="79">
        <f>'Customer Pricing'!$L8</f>
        <v>1</v>
      </c>
      <c r="AJ8" t="str">
        <f>'Customer Pricing'!$O8</f>
        <v>January</v>
      </c>
      <c r="AK8" t="str">
        <f>'Customer Pricing'!$P8</f>
        <v>Every 6 Weeks</v>
      </c>
      <c r="AL8" cm="1">
        <f t="array" ref="AL8">IF(AJ8="",0, MATCH(LOWER(AJ8), LOWER($AA$1:$AA$12), 0))</f>
        <v>1</v>
      </c>
      <c r="AM8">
        <f t="shared" si="4"/>
        <v>0</v>
      </c>
      <c r="AN8" t="b">
        <f t="shared" si="5"/>
        <v>1</v>
      </c>
      <c r="AO8">
        <f t="shared" si="6"/>
        <v>8</v>
      </c>
      <c r="AP8">
        <f t="shared" si="7"/>
        <v>1</v>
      </c>
      <c r="AQ8">
        <f t="shared" si="0"/>
        <v>1</v>
      </c>
      <c r="AR8">
        <f t="shared" si="0"/>
        <v>0</v>
      </c>
      <c r="AS8">
        <f t="shared" si="0"/>
        <v>1</v>
      </c>
      <c r="AT8">
        <f t="shared" si="0"/>
        <v>1</v>
      </c>
      <c r="AU8">
        <f t="shared" si="0"/>
        <v>0</v>
      </c>
      <c r="AV8">
        <f t="shared" si="0"/>
        <v>1</v>
      </c>
      <c r="AW8">
        <f t="shared" si="0"/>
        <v>1</v>
      </c>
      <c r="AX8">
        <f t="shared" si="0"/>
        <v>0</v>
      </c>
      <c r="AY8">
        <f t="shared" si="0"/>
        <v>1</v>
      </c>
      <c r="AZ8">
        <f t="shared" si="0"/>
        <v>1</v>
      </c>
      <c r="BA8">
        <f t="shared" si="0"/>
        <v>0</v>
      </c>
      <c r="BB8">
        <f t="shared" si="8"/>
        <v>4086.2819252518002</v>
      </c>
      <c r="BC8">
        <f t="shared" si="9"/>
        <v>4086.2819252518002</v>
      </c>
      <c r="BD8">
        <f t="shared" si="10"/>
        <v>0</v>
      </c>
      <c r="BE8">
        <f t="shared" si="11"/>
        <v>4086.2819252518002</v>
      </c>
      <c r="BF8">
        <f t="shared" si="12"/>
        <v>4086.2819252518002</v>
      </c>
      <c r="BG8">
        <f t="shared" si="13"/>
        <v>0</v>
      </c>
      <c r="BH8">
        <f t="shared" si="14"/>
        <v>4086.2819252518002</v>
      </c>
      <c r="BI8">
        <f t="shared" si="15"/>
        <v>4086.2819252518002</v>
      </c>
      <c r="BJ8">
        <f t="shared" si="16"/>
        <v>0</v>
      </c>
      <c r="BK8">
        <f t="shared" si="17"/>
        <v>4086.2819252518002</v>
      </c>
      <c r="BL8">
        <f t="shared" si="18"/>
        <v>4086.2819252518002</v>
      </c>
      <c r="BM8">
        <f t="shared" si="19"/>
        <v>0</v>
      </c>
      <c r="BN8">
        <f t="shared" si="20"/>
        <v>2673.0230153042253</v>
      </c>
      <c r="BO8">
        <f t="shared" si="21"/>
        <v>2673.0230153042253</v>
      </c>
      <c r="BP8">
        <f t="shared" si="22"/>
        <v>0</v>
      </c>
      <c r="BQ8">
        <f t="shared" si="23"/>
        <v>2673.0230153042253</v>
      </c>
      <c r="BR8">
        <f t="shared" si="24"/>
        <v>2673.0230153042253</v>
      </c>
      <c r="BS8">
        <f t="shared" si="25"/>
        <v>0</v>
      </c>
      <c r="BT8">
        <f t="shared" si="26"/>
        <v>2673.0230153042253</v>
      </c>
      <c r="BU8">
        <f t="shared" si="27"/>
        <v>2673.0230153042253</v>
      </c>
      <c r="BV8">
        <f t="shared" si="28"/>
        <v>0</v>
      </c>
      <c r="BW8">
        <f t="shared" si="29"/>
        <v>2673.0230153042253</v>
      </c>
      <c r="BX8">
        <f t="shared" si="30"/>
        <v>2673.0230153042253</v>
      </c>
      <c r="BY8">
        <f t="shared" si="31"/>
        <v>0</v>
      </c>
    </row>
    <row r="9" spans="1:77" x14ac:dyDescent="0.25">
      <c r="A9" t="s">
        <v>252</v>
      </c>
      <c r="B9" s="77">
        <f>-+'Cash Flow Analysis'!B6</f>
        <v>1291.6666666666667</v>
      </c>
      <c r="C9" s="77">
        <f>+'Cash Flow Analysis'!C6</f>
        <v>-2486.4583333333335</v>
      </c>
      <c r="D9" s="77">
        <f>+'Cash Flow Analysis'!D6</f>
        <v>-1646.875</v>
      </c>
      <c r="E9" s="77">
        <f>+'Cash Flow Analysis'!E6</f>
        <v>-807.29166666666663</v>
      </c>
      <c r="F9" s="77">
        <f>+'Cash Flow Analysis'!F6</f>
        <v>-1808.3333333333333</v>
      </c>
      <c r="G9" s="77">
        <f>+'Cash Flow Analysis'!G6</f>
        <v>-1291.6666666666667</v>
      </c>
      <c r="H9" s="77">
        <f>+'Cash Flow Analysis'!H6</f>
        <v>-613.54166666666663</v>
      </c>
      <c r="I9" s="77">
        <f>+'Cash Flow Analysis'!I6</f>
        <v>-2228.125</v>
      </c>
      <c r="J9" s="77">
        <f>+'Cash Flow Analysis'!J6</f>
        <v>-1646.875</v>
      </c>
      <c r="K9" s="77">
        <f>+'Cash Flow Analysis'!K6</f>
        <v>-839.58333333333337</v>
      </c>
      <c r="L9" s="77">
        <f>+'Cash Flow Analysis'!L6</f>
        <v>-1872.9166666666667</v>
      </c>
      <c r="M9" s="77">
        <f>+'Cash Flow Analysis'!M6</f>
        <v>-1356.25</v>
      </c>
      <c r="O9" s="77">
        <f t="shared" si="33"/>
        <v>-15306.25</v>
      </c>
      <c r="AA9" t="s">
        <v>234</v>
      </c>
      <c r="AB9">
        <v>9</v>
      </c>
      <c r="AE9" s="79">
        <f>'Customer Pricing'!$B9</f>
        <v>0.6</v>
      </c>
      <c r="AF9" s="77">
        <f>'Customer Pricing'!$J9</f>
        <v>160502.00073330905</v>
      </c>
      <c r="AG9" s="77">
        <f>'Customer Pricing'!$E9</f>
        <v>34.906242345619653</v>
      </c>
      <c r="AH9">
        <f>'Customer Pricing'!$I9</f>
        <v>3000</v>
      </c>
      <c r="AI9" s="79">
        <f>'Customer Pricing'!$L9</f>
        <v>1</v>
      </c>
      <c r="AJ9" t="str">
        <f>'Customer Pricing'!$O9</f>
        <v>February</v>
      </c>
      <c r="AK9" t="str">
        <f>'Customer Pricing'!$P9</f>
        <v>Every 6 Weeks</v>
      </c>
      <c r="AL9" cm="1">
        <f t="array" ref="AL9">IF(AJ9="",0, MATCH(LOWER(AJ9), LOWER($AA$1:$AA$12), 0))</f>
        <v>2</v>
      </c>
      <c r="AM9">
        <f t="shared" si="4"/>
        <v>0</v>
      </c>
      <c r="AN9" t="b">
        <f t="shared" si="5"/>
        <v>1</v>
      </c>
      <c r="AO9">
        <f t="shared" si="6"/>
        <v>8</v>
      </c>
      <c r="AP9">
        <f t="shared" si="7"/>
        <v>0</v>
      </c>
      <c r="AQ9">
        <f t="shared" si="0"/>
        <v>1</v>
      </c>
      <c r="AR9">
        <f t="shared" si="0"/>
        <v>1</v>
      </c>
      <c r="AS9">
        <f t="shared" si="0"/>
        <v>0</v>
      </c>
      <c r="AT9">
        <f t="shared" si="0"/>
        <v>1</v>
      </c>
      <c r="AU9">
        <f t="shared" si="0"/>
        <v>1</v>
      </c>
      <c r="AV9">
        <f t="shared" si="0"/>
        <v>0</v>
      </c>
      <c r="AW9">
        <f t="shared" si="0"/>
        <v>1</v>
      </c>
      <c r="AX9">
        <f t="shared" si="0"/>
        <v>1</v>
      </c>
      <c r="AY9">
        <f t="shared" si="0"/>
        <v>0</v>
      </c>
      <c r="AZ9">
        <f t="shared" si="0"/>
        <v>1</v>
      </c>
      <c r="BA9">
        <f t="shared" si="0"/>
        <v>1</v>
      </c>
      <c r="BB9">
        <f t="shared" si="8"/>
        <v>0</v>
      </c>
      <c r="BC9">
        <f t="shared" si="9"/>
        <v>0</v>
      </c>
      <c r="BD9">
        <f t="shared" si="10"/>
        <v>0</v>
      </c>
      <c r="BE9">
        <f t="shared" si="11"/>
        <v>0</v>
      </c>
      <c r="BF9">
        <f t="shared" si="12"/>
        <v>0</v>
      </c>
      <c r="BG9">
        <f t="shared" si="13"/>
        <v>0</v>
      </c>
      <c r="BH9">
        <f t="shared" si="14"/>
        <v>0</v>
      </c>
      <c r="BI9">
        <f t="shared" si="15"/>
        <v>0</v>
      </c>
      <c r="BJ9">
        <f t="shared" si="16"/>
        <v>0</v>
      </c>
      <c r="BK9">
        <f t="shared" si="17"/>
        <v>0</v>
      </c>
      <c r="BL9">
        <f t="shared" si="18"/>
        <v>0</v>
      </c>
      <c r="BM9">
        <f t="shared" si="19"/>
        <v>0</v>
      </c>
      <c r="BN9">
        <f t="shared" si="20"/>
        <v>0</v>
      </c>
      <c r="BO9">
        <f t="shared" si="21"/>
        <v>0</v>
      </c>
      <c r="BP9">
        <f t="shared" si="22"/>
        <v>0</v>
      </c>
      <c r="BQ9">
        <f t="shared" si="23"/>
        <v>0</v>
      </c>
      <c r="BR9">
        <f t="shared" si="24"/>
        <v>0</v>
      </c>
      <c r="BS9">
        <f t="shared" si="25"/>
        <v>0</v>
      </c>
      <c r="BT9">
        <f t="shared" si="26"/>
        <v>0</v>
      </c>
      <c r="BU9">
        <f t="shared" si="27"/>
        <v>0</v>
      </c>
      <c r="BV9">
        <f t="shared" si="28"/>
        <v>0</v>
      </c>
      <c r="BW9">
        <f t="shared" si="29"/>
        <v>0</v>
      </c>
      <c r="BX9">
        <f t="shared" si="30"/>
        <v>0</v>
      </c>
      <c r="BY9">
        <f t="shared" si="31"/>
        <v>0</v>
      </c>
    </row>
    <row r="10" spans="1:77" x14ac:dyDescent="0.25">
      <c r="A10" t="s">
        <v>253</v>
      </c>
      <c r="B10" s="77">
        <f>+B8-B9</f>
        <v>100995.38222067525</v>
      </c>
      <c r="C10" s="77">
        <f>+C8-C9</f>
        <v>74241.207433554242</v>
      </c>
      <c r="D10" s="77">
        <f t="shared" ref="D10:M10" si="36">+D8-D9</f>
        <v>5166.9217465677211</v>
      </c>
      <c r="E10" s="77">
        <f t="shared" si="36"/>
        <v>83444.340554008595</v>
      </c>
      <c r="F10" s="77">
        <f t="shared" si="36"/>
        <v>53233.082433554249</v>
      </c>
      <c r="G10" s="77">
        <f t="shared" si="36"/>
        <v>-1553.2865867656121</v>
      </c>
      <c r="H10" s="77">
        <f t="shared" si="36"/>
        <v>1650.5905540085901</v>
      </c>
      <c r="I10" s="77">
        <f t="shared" si="36"/>
        <v>54577.874100220914</v>
      </c>
      <c r="J10" s="77">
        <f t="shared" si="36"/>
        <v>-1598.0782534322789</v>
      </c>
      <c r="K10" s="77">
        <f t="shared" si="36"/>
        <v>79476.632220675252</v>
      </c>
      <c r="L10" s="77">
        <f t="shared" si="36"/>
        <v>56797.665766887578</v>
      </c>
      <c r="M10" s="77">
        <f t="shared" si="36"/>
        <v>1861.2967465677211</v>
      </c>
      <c r="O10" s="77">
        <f t="shared" si="33"/>
        <v>508293.62893652223</v>
      </c>
      <c r="AA10" t="s">
        <v>235</v>
      </c>
      <c r="AB10">
        <v>10</v>
      </c>
      <c r="AE10" s="79">
        <f>'Customer Pricing'!$B10</f>
        <v>0.5</v>
      </c>
      <c r="AF10" s="77">
        <f>'Customer Pricing'!$J10</f>
        <v>62880.553355913602</v>
      </c>
      <c r="AG10" s="77">
        <f>'Customer Pricing'!$E10</f>
        <v>7.3221235405648137</v>
      </c>
      <c r="AH10">
        <f>'Customer Pricing'!$I10</f>
        <v>6000</v>
      </c>
      <c r="AI10" s="79">
        <f>'Customer Pricing'!$L10</f>
        <v>1</v>
      </c>
      <c r="AJ10" t="str">
        <f>'Customer Pricing'!$O10</f>
        <v>February</v>
      </c>
      <c r="AK10" t="str">
        <f>'Customer Pricing'!$P10</f>
        <v>Every Other Month</v>
      </c>
      <c r="AL10" cm="1">
        <f t="array" ref="AL10">IF(AJ10="",0, MATCH(LOWER(AJ10), LOWER($AA$1:$AA$12), 0))</f>
        <v>2</v>
      </c>
      <c r="AM10">
        <f t="shared" si="4"/>
        <v>1</v>
      </c>
      <c r="AN10" t="b">
        <f t="shared" si="5"/>
        <v>0</v>
      </c>
      <c r="AO10">
        <f t="shared" si="6"/>
        <v>11</v>
      </c>
      <c r="AP10">
        <f t="shared" si="7"/>
        <v>0</v>
      </c>
      <c r="AQ10">
        <f t="shared" si="0"/>
        <v>1</v>
      </c>
      <c r="AR10">
        <f t="shared" si="0"/>
        <v>1</v>
      </c>
      <c r="AS10">
        <f t="shared" si="0"/>
        <v>1</v>
      </c>
      <c r="AT10">
        <f t="shared" si="0"/>
        <v>1</v>
      </c>
      <c r="AU10">
        <f t="shared" si="0"/>
        <v>1</v>
      </c>
      <c r="AV10">
        <f t="shared" si="0"/>
        <v>1</v>
      </c>
      <c r="AW10">
        <f t="shared" si="0"/>
        <v>1</v>
      </c>
      <c r="AX10">
        <f t="shared" si="0"/>
        <v>1</v>
      </c>
      <c r="AY10">
        <f t="shared" si="0"/>
        <v>1</v>
      </c>
      <c r="AZ10">
        <f t="shared" si="0"/>
        <v>1</v>
      </c>
      <c r="BA10">
        <f t="shared" si="0"/>
        <v>1</v>
      </c>
      <c r="BB10">
        <f t="shared" si="8"/>
        <v>0</v>
      </c>
      <c r="BC10">
        <f t="shared" si="9"/>
        <v>0</v>
      </c>
      <c r="BD10">
        <f t="shared" si="10"/>
        <v>0</v>
      </c>
      <c r="BE10">
        <f t="shared" si="11"/>
        <v>0</v>
      </c>
      <c r="BF10">
        <f t="shared" si="12"/>
        <v>0</v>
      </c>
      <c r="BG10">
        <f t="shared" si="13"/>
        <v>0</v>
      </c>
      <c r="BH10">
        <f t="shared" si="14"/>
        <v>0</v>
      </c>
      <c r="BI10">
        <f t="shared" si="15"/>
        <v>0</v>
      </c>
      <c r="BJ10">
        <f t="shared" si="16"/>
        <v>0</v>
      </c>
      <c r="BK10">
        <f t="shared" si="17"/>
        <v>0</v>
      </c>
      <c r="BL10">
        <f t="shared" si="18"/>
        <v>0</v>
      </c>
      <c r="BM10">
        <f t="shared" si="19"/>
        <v>0</v>
      </c>
      <c r="BN10">
        <f t="shared" si="20"/>
        <v>0</v>
      </c>
      <c r="BO10">
        <f t="shared" si="21"/>
        <v>0</v>
      </c>
      <c r="BP10">
        <f t="shared" si="22"/>
        <v>0</v>
      </c>
      <c r="BQ10">
        <f t="shared" si="23"/>
        <v>0</v>
      </c>
      <c r="BR10">
        <f t="shared" si="24"/>
        <v>0</v>
      </c>
      <c r="BS10">
        <f t="shared" si="25"/>
        <v>0</v>
      </c>
      <c r="BT10">
        <f t="shared" si="26"/>
        <v>0</v>
      </c>
      <c r="BU10">
        <f t="shared" si="27"/>
        <v>0</v>
      </c>
      <c r="BV10">
        <f t="shared" si="28"/>
        <v>0</v>
      </c>
      <c r="BW10">
        <f t="shared" si="29"/>
        <v>0</v>
      </c>
      <c r="BX10">
        <f t="shared" si="30"/>
        <v>0</v>
      </c>
      <c r="BY10">
        <f t="shared" si="31"/>
        <v>0</v>
      </c>
    </row>
    <row r="11" spans="1:77" x14ac:dyDescent="0.25">
      <c r="O11" s="77"/>
      <c r="AA11" t="s">
        <v>236</v>
      </c>
      <c r="AB11">
        <v>11</v>
      </c>
      <c r="AE11" s="79">
        <f>'Customer Pricing'!$B11</f>
        <v>0.1</v>
      </c>
      <c r="AF11" s="77">
        <f>'Customer Pricing'!$J11</f>
        <v>304000.39253323339</v>
      </c>
      <c r="AG11" s="77">
        <f>'Customer Pricing'!$E11</f>
        <v>11.455715724251798</v>
      </c>
      <c r="AH11">
        <f>'Customer Pricing'!$I11</f>
        <v>20000</v>
      </c>
      <c r="AI11" s="79">
        <f>'Customer Pricing'!$L11</f>
        <v>1</v>
      </c>
      <c r="AJ11" t="str">
        <f>'Customer Pricing'!$O11</f>
        <v>May</v>
      </c>
      <c r="AK11" t="str">
        <f>'Customer Pricing'!$P11</f>
        <v>Every 6 Weeks</v>
      </c>
      <c r="AL11" cm="1">
        <f t="array" ref="AL11">IF(AJ11="",0, MATCH(LOWER(AJ11), LOWER($AA$1:$AA$12), 0))</f>
        <v>5</v>
      </c>
      <c r="AM11">
        <f t="shared" si="4"/>
        <v>0</v>
      </c>
      <c r="AN11" t="b">
        <f t="shared" si="5"/>
        <v>1</v>
      </c>
      <c r="AO11">
        <f t="shared" si="6"/>
        <v>6</v>
      </c>
      <c r="AP11">
        <f t="shared" si="7"/>
        <v>0</v>
      </c>
      <c r="AQ11">
        <f t="shared" si="0"/>
        <v>0</v>
      </c>
      <c r="AR11">
        <f t="shared" si="0"/>
        <v>0</v>
      </c>
      <c r="AS11">
        <f t="shared" si="0"/>
        <v>0</v>
      </c>
      <c r="AT11">
        <f t="shared" si="0"/>
        <v>1</v>
      </c>
      <c r="AU11">
        <f t="shared" si="0"/>
        <v>1</v>
      </c>
      <c r="AV11">
        <f t="shared" si="0"/>
        <v>0</v>
      </c>
      <c r="AW11">
        <f t="shared" si="0"/>
        <v>1</v>
      </c>
      <c r="AX11">
        <f t="shared" si="0"/>
        <v>1</v>
      </c>
      <c r="AY11">
        <f t="shared" si="0"/>
        <v>0</v>
      </c>
      <c r="AZ11">
        <f t="shared" si="0"/>
        <v>1</v>
      </c>
      <c r="BA11">
        <f t="shared" si="0"/>
        <v>1</v>
      </c>
      <c r="BB11">
        <f t="shared" si="8"/>
        <v>0</v>
      </c>
      <c r="BC11">
        <f t="shared" si="9"/>
        <v>0</v>
      </c>
      <c r="BD11">
        <f t="shared" si="10"/>
        <v>0</v>
      </c>
      <c r="BE11">
        <f t="shared" si="11"/>
        <v>0</v>
      </c>
      <c r="BF11">
        <f t="shared" si="12"/>
        <v>0</v>
      </c>
      <c r="BG11">
        <f t="shared" si="13"/>
        <v>0</v>
      </c>
      <c r="BH11">
        <f t="shared" si="14"/>
        <v>0</v>
      </c>
      <c r="BI11">
        <f t="shared" si="15"/>
        <v>0</v>
      </c>
      <c r="BJ11">
        <f t="shared" si="16"/>
        <v>0</v>
      </c>
      <c r="BK11">
        <f t="shared" si="17"/>
        <v>0</v>
      </c>
      <c r="BL11">
        <f t="shared" si="18"/>
        <v>0</v>
      </c>
      <c r="BM11">
        <f t="shared" si="19"/>
        <v>0</v>
      </c>
      <c r="BN11">
        <f t="shared" si="20"/>
        <v>0</v>
      </c>
      <c r="BO11">
        <f t="shared" si="21"/>
        <v>0</v>
      </c>
      <c r="BP11">
        <f t="shared" si="22"/>
        <v>0</v>
      </c>
      <c r="BQ11">
        <f t="shared" si="23"/>
        <v>0</v>
      </c>
      <c r="BR11">
        <f t="shared" si="24"/>
        <v>0</v>
      </c>
      <c r="BS11">
        <f t="shared" si="25"/>
        <v>0</v>
      </c>
      <c r="BT11">
        <f t="shared" si="26"/>
        <v>0</v>
      </c>
      <c r="BU11">
        <f t="shared" si="27"/>
        <v>0</v>
      </c>
      <c r="BV11">
        <f t="shared" si="28"/>
        <v>0</v>
      </c>
      <c r="BW11">
        <f t="shared" si="29"/>
        <v>0</v>
      </c>
      <c r="BX11">
        <f t="shared" si="30"/>
        <v>0</v>
      </c>
      <c r="BY11">
        <f t="shared" si="31"/>
        <v>0</v>
      </c>
    </row>
    <row r="12" spans="1:77" x14ac:dyDescent="0.25">
      <c r="B12" s="85"/>
      <c r="C12" s="85"/>
      <c r="D12" s="85"/>
      <c r="E12" s="85"/>
      <c r="G12" s="85"/>
      <c r="H12" s="85"/>
      <c r="I12" s="85"/>
      <c r="J12" s="85"/>
      <c r="K12" s="85"/>
      <c r="L12" s="85"/>
      <c r="M12" s="85"/>
      <c r="N12" s="85" t="s">
        <v>348</v>
      </c>
      <c r="O12" s="85">
        <f>O8/(-'Cash Flow Analysis'!R4)</f>
        <v>18.368278088313389</v>
      </c>
      <c r="AA12" t="s">
        <v>237</v>
      </c>
      <c r="AB12">
        <v>12</v>
      </c>
      <c r="AE12" s="79">
        <f>'Customer Pricing'!$B12</f>
        <v>0.6</v>
      </c>
      <c r="AF12" s="77">
        <f>'Customer Pricing'!$J12</f>
        <v>0</v>
      </c>
      <c r="AG12" s="77">
        <f>'Customer Pricing'!$E12</f>
        <v>0</v>
      </c>
      <c r="AH12">
        <f>'Customer Pricing'!$I12</f>
        <v>13000</v>
      </c>
      <c r="AI12" s="79">
        <f>'Customer Pricing'!$L12</f>
        <v>0</v>
      </c>
      <c r="AJ12" t="str">
        <f>'Customer Pricing'!$O12</f>
        <v>March</v>
      </c>
      <c r="AK12" t="str">
        <f>'Customer Pricing'!$P12</f>
        <v>Every Month</v>
      </c>
      <c r="AL12" cm="1">
        <f t="array" ref="AL12">IF(AJ12="",0, MATCH(LOWER(AJ12), LOWER($AA$1:$AA$12), 0))</f>
        <v>3</v>
      </c>
      <c r="AM12">
        <f t="shared" si="4"/>
        <v>1</v>
      </c>
      <c r="AN12" t="b">
        <f t="shared" si="5"/>
        <v>0</v>
      </c>
      <c r="AO12">
        <f t="shared" si="6"/>
        <v>10</v>
      </c>
      <c r="AP12">
        <f t="shared" si="7"/>
        <v>0</v>
      </c>
      <c r="AQ12">
        <f t="shared" si="0"/>
        <v>0</v>
      </c>
      <c r="AR12">
        <f t="shared" si="0"/>
        <v>1</v>
      </c>
      <c r="AS12">
        <f t="shared" si="0"/>
        <v>1</v>
      </c>
      <c r="AT12">
        <f t="shared" si="0"/>
        <v>1</v>
      </c>
      <c r="AU12">
        <f t="shared" si="0"/>
        <v>1</v>
      </c>
      <c r="AV12">
        <f t="shared" si="0"/>
        <v>1</v>
      </c>
      <c r="AW12">
        <f t="shared" si="0"/>
        <v>1</v>
      </c>
      <c r="AX12">
        <f t="shared" si="0"/>
        <v>1</v>
      </c>
      <c r="AY12">
        <f t="shared" si="0"/>
        <v>1</v>
      </c>
      <c r="AZ12">
        <f t="shared" si="0"/>
        <v>1</v>
      </c>
      <c r="BA12">
        <f t="shared" si="0"/>
        <v>1</v>
      </c>
      <c r="BB12">
        <f t="shared" si="8"/>
        <v>0</v>
      </c>
      <c r="BC12">
        <f t="shared" si="9"/>
        <v>0</v>
      </c>
      <c r="BD12">
        <f t="shared" si="10"/>
        <v>0</v>
      </c>
      <c r="BE12">
        <f t="shared" si="11"/>
        <v>0</v>
      </c>
      <c r="BF12">
        <f t="shared" si="12"/>
        <v>0</v>
      </c>
      <c r="BG12">
        <f t="shared" si="13"/>
        <v>0</v>
      </c>
      <c r="BH12">
        <f t="shared" si="14"/>
        <v>0</v>
      </c>
      <c r="BI12">
        <f t="shared" si="15"/>
        <v>0</v>
      </c>
      <c r="BJ12">
        <f t="shared" si="16"/>
        <v>0</v>
      </c>
      <c r="BK12">
        <f t="shared" si="17"/>
        <v>0</v>
      </c>
      <c r="BL12">
        <f t="shared" si="18"/>
        <v>0</v>
      </c>
      <c r="BM12">
        <f t="shared" si="19"/>
        <v>0</v>
      </c>
      <c r="BN12">
        <f t="shared" si="20"/>
        <v>0</v>
      </c>
      <c r="BO12">
        <f t="shared" si="21"/>
        <v>0</v>
      </c>
      <c r="BP12">
        <f t="shared" si="22"/>
        <v>0</v>
      </c>
      <c r="BQ12">
        <f t="shared" si="23"/>
        <v>0</v>
      </c>
      <c r="BR12">
        <f t="shared" si="24"/>
        <v>0</v>
      </c>
      <c r="BS12">
        <f t="shared" si="25"/>
        <v>0</v>
      </c>
      <c r="BT12">
        <f t="shared" si="26"/>
        <v>0</v>
      </c>
      <c r="BU12">
        <f t="shared" si="27"/>
        <v>0</v>
      </c>
      <c r="BV12">
        <f t="shared" si="28"/>
        <v>0</v>
      </c>
      <c r="BW12">
        <f t="shared" si="29"/>
        <v>0</v>
      </c>
      <c r="BX12">
        <f t="shared" si="30"/>
        <v>0</v>
      </c>
      <c r="BY12">
        <f t="shared" si="31"/>
        <v>0</v>
      </c>
    </row>
    <row r="13" spans="1:77" x14ac:dyDescent="0.25">
      <c r="AE13" s="79">
        <f>'Customer Pricing'!$B13</f>
        <v>0.6</v>
      </c>
      <c r="AF13" s="77">
        <f>'Customer Pricing'!$J13</f>
        <v>105011.52825707573</v>
      </c>
      <c r="AG13" s="77">
        <f>'Customer Pricing'!$E13</f>
        <v>1.0432636917019713</v>
      </c>
      <c r="AH13">
        <f>'Customer Pricing'!$I13</f>
        <v>75000</v>
      </c>
      <c r="AI13" s="79">
        <f>'Customer Pricing'!$L13</f>
        <v>0.7</v>
      </c>
      <c r="AJ13" t="str">
        <f>'Customer Pricing'!$O13</f>
        <v>March</v>
      </c>
      <c r="AK13" t="str">
        <f>'Customer Pricing'!$P13</f>
        <v>Every Month</v>
      </c>
      <c r="AL13" cm="1">
        <f t="array" ref="AL13">IF(AJ13="",0, MATCH(LOWER(AJ13), LOWER($AA$1:$AA$12), 0))</f>
        <v>3</v>
      </c>
      <c r="AM13">
        <f t="shared" si="4"/>
        <v>1</v>
      </c>
      <c r="AN13" t="b">
        <f t="shared" si="5"/>
        <v>0</v>
      </c>
      <c r="AO13">
        <f t="shared" si="6"/>
        <v>10</v>
      </c>
      <c r="AP13">
        <f t="shared" si="7"/>
        <v>0</v>
      </c>
      <c r="AQ13">
        <f t="shared" si="0"/>
        <v>0</v>
      </c>
      <c r="AR13">
        <f t="shared" si="0"/>
        <v>1</v>
      </c>
      <c r="AS13">
        <f t="shared" si="0"/>
        <v>1</v>
      </c>
      <c r="AT13">
        <f t="shared" si="0"/>
        <v>1</v>
      </c>
      <c r="AU13">
        <f t="shared" si="0"/>
        <v>1</v>
      </c>
      <c r="AV13">
        <f t="shared" si="0"/>
        <v>1</v>
      </c>
      <c r="AW13">
        <f t="shared" si="0"/>
        <v>1</v>
      </c>
      <c r="AX13">
        <f t="shared" si="0"/>
        <v>1</v>
      </c>
      <c r="AY13">
        <f t="shared" si="0"/>
        <v>1</v>
      </c>
      <c r="AZ13">
        <f t="shared" si="0"/>
        <v>1</v>
      </c>
      <c r="BA13">
        <f t="shared" si="0"/>
        <v>1</v>
      </c>
      <c r="BB13">
        <f t="shared" si="8"/>
        <v>0</v>
      </c>
      <c r="BC13">
        <f t="shared" si="9"/>
        <v>0</v>
      </c>
      <c r="BD13">
        <f t="shared" si="10"/>
        <v>0</v>
      </c>
      <c r="BE13">
        <f t="shared" si="11"/>
        <v>0</v>
      </c>
      <c r="BF13">
        <f t="shared" si="12"/>
        <v>0</v>
      </c>
      <c r="BG13">
        <f t="shared" si="13"/>
        <v>0</v>
      </c>
      <c r="BH13">
        <f t="shared" si="14"/>
        <v>0</v>
      </c>
      <c r="BI13">
        <f t="shared" si="15"/>
        <v>0</v>
      </c>
      <c r="BJ13">
        <f t="shared" si="16"/>
        <v>0</v>
      </c>
      <c r="BK13">
        <f t="shared" si="17"/>
        <v>0</v>
      </c>
      <c r="BL13">
        <f t="shared" si="18"/>
        <v>0</v>
      </c>
      <c r="BM13">
        <f t="shared" si="19"/>
        <v>0</v>
      </c>
      <c r="BN13">
        <f t="shared" si="20"/>
        <v>0</v>
      </c>
      <c r="BO13">
        <f t="shared" si="21"/>
        <v>0</v>
      </c>
      <c r="BP13">
        <f t="shared" si="22"/>
        <v>0</v>
      </c>
      <c r="BQ13">
        <f t="shared" si="23"/>
        <v>0</v>
      </c>
      <c r="BR13">
        <f t="shared" si="24"/>
        <v>0</v>
      </c>
      <c r="BS13">
        <f t="shared" si="25"/>
        <v>0</v>
      </c>
      <c r="BT13">
        <f t="shared" si="26"/>
        <v>0</v>
      </c>
      <c r="BU13">
        <f t="shared" si="27"/>
        <v>0</v>
      </c>
      <c r="BV13">
        <f t="shared" si="28"/>
        <v>0</v>
      </c>
      <c r="BW13">
        <f t="shared" si="29"/>
        <v>0</v>
      </c>
      <c r="BX13">
        <f t="shared" si="30"/>
        <v>0</v>
      </c>
      <c r="BY13">
        <f t="shared" si="31"/>
        <v>0</v>
      </c>
    </row>
    <row r="14" spans="1:77" x14ac:dyDescent="0.25">
      <c r="AE14" s="79">
        <f>'Customer Pricing'!$B14</f>
        <v>0.6</v>
      </c>
      <c r="AF14" s="77">
        <f>'Customer Pricing'!$J14</f>
        <v>270960.56433385966</v>
      </c>
      <c r="AG14" s="77">
        <f>'Customer Pricing'!$E14</f>
        <v>1.9418670791338191</v>
      </c>
      <c r="AH14">
        <f>'Customer Pricing'!$I14</f>
        <v>50000</v>
      </c>
      <c r="AI14" s="79">
        <f>'Customer Pricing'!$L14</f>
        <v>0.8</v>
      </c>
      <c r="AJ14" t="str">
        <f>'Customer Pricing'!$O14</f>
        <v>March</v>
      </c>
      <c r="AK14" t="str">
        <f>'Customer Pricing'!$P14</f>
        <v>Every Month</v>
      </c>
      <c r="AL14" cm="1">
        <f t="array" ref="AL14">IF(AJ14="",0, MATCH(LOWER(AJ14), LOWER($AA$1:$AA$12), 0))</f>
        <v>3</v>
      </c>
      <c r="AM14">
        <f t="shared" si="4"/>
        <v>1</v>
      </c>
      <c r="AN14" t="b">
        <f t="shared" si="5"/>
        <v>0</v>
      </c>
      <c r="AO14">
        <f t="shared" si="6"/>
        <v>10</v>
      </c>
      <c r="AP14">
        <f t="shared" si="7"/>
        <v>0</v>
      </c>
      <c r="AQ14">
        <f t="shared" si="0"/>
        <v>0</v>
      </c>
      <c r="AR14">
        <f t="shared" si="0"/>
        <v>1</v>
      </c>
      <c r="AS14">
        <f t="shared" si="0"/>
        <v>1</v>
      </c>
      <c r="AT14">
        <f t="shared" si="0"/>
        <v>1</v>
      </c>
      <c r="AU14">
        <f t="shared" si="0"/>
        <v>1</v>
      </c>
      <c r="AV14">
        <f t="shared" si="0"/>
        <v>1</v>
      </c>
      <c r="AW14">
        <f t="shared" si="0"/>
        <v>1</v>
      </c>
      <c r="AX14">
        <f t="shared" si="0"/>
        <v>1</v>
      </c>
      <c r="AY14">
        <f t="shared" si="0"/>
        <v>1</v>
      </c>
      <c r="AZ14">
        <f t="shared" si="0"/>
        <v>1</v>
      </c>
      <c r="BA14">
        <f t="shared" si="0"/>
        <v>1</v>
      </c>
      <c r="BB14">
        <f t="shared" si="8"/>
        <v>0</v>
      </c>
      <c r="BC14">
        <f t="shared" si="9"/>
        <v>0</v>
      </c>
      <c r="BD14">
        <f t="shared" si="10"/>
        <v>0</v>
      </c>
      <c r="BE14">
        <f t="shared" si="11"/>
        <v>0</v>
      </c>
      <c r="BF14">
        <f t="shared" si="12"/>
        <v>0</v>
      </c>
      <c r="BG14">
        <f t="shared" si="13"/>
        <v>0</v>
      </c>
      <c r="BH14">
        <f t="shared" si="14"/>
        <v>0</v>
      </c>
      <c r="BI14">
        <f t="shared" si="15"/>
        <v>0</v>
      </c>
      <c r="BJ14">
        <f t="shared" si="16"/>
        <v>0</v>
      </c>
      <c r="BK14">
        <f t="shared" si="17"/>
        <v>0</v>
      </c>
      <c r="BL14">
        <f t="shared" si="18"/>
        <v>0</v>
      </c>
      <c r="BM14">
        <f t="shared" si="19"/>
        <v>0</v>
      </c>
      <c r="BN14">
        <f t="shared" si="20"/>
        <v>0</v>
      </c>
      <c r="BO14">
        <f t="shared" si="21"/>
        <v>0</v>
      </c>
      <c r="BP14">
        <f t="shared" si="22"/>
        <v>0</v>
      </c>
      <c r="BQ14">
        <f t="shared" si="23"/>
        <v>0</v>
      </c>
      <c r="BR14">
        <f t="shared" si="24"/>
        <v>0</v>
      </c>
      <c r="BS14">
        <f t="shared" si="25"/>
        <v>0</v>
      </c>
      <c r="BT14">
        <f t="shared" si="26"/>
        <v>0</v>
      </c>
      <c r="BU14">
        <f t="shared" si="27"/>
        <v>0</v>
      </c>
      <c r="BV14">
        <f t="shared" si="28"/>
        <v>0</v>
      </c>
      <c r="BW14">
        <f t="shared" si="29"/>
        <v>0</v>
      </c>
      <c r="BX14">
        <f t="shared" si="30"/>
        <v>0</v>
      </c>
      <c r="BY14">
        <f t="shared" si="31"/>
        <v>0</v>
      </c>
    </row>
    <row r="15" spans="1:77" x14ac:dyDescent="0.25">
      <c r="AE15" s="79">
        <f>'Customer Pricing'!$B15</f>
        <v>0.85</v>
      </c>
      <c r="AF15" s="77">
        <f>'Customer Pricing'!$J15</f>
        <v>389703.57157999859</v>
      </c>
      <c r="AG15" s="77">
        <f>'Customer Pricing'!$E15</f>
        <v>20.375506890076295</v>
      </c>
      <c r="AH15">
        <f>'Customer Pricing'!$I15</f>
        <v>12000</v>
      </c>
      <c r="AI15" s="79">
        <f>'Customer Pricing'!$L15</f>
        <v>1</v>
      </c>
      <c r="AJ15" t="str">
        <f>'Customer Pricing'!$O15</f>
        <v>January</v>
      </c>
      <c r="AK15" t="str">
        <f>'Customer Pricing'!$P15</f>
        <v>Every 6 Weeks</v>
      </c>
      <c r="AL15" cm="1">
        <f t="array" ref="AL15">IF(AJ15="",0, MATCH(LOWER(AJ15), LOWER($AA$1:$AA$12), 0))</f>
        <v>1</v>
      </c>
      <c r="AM15">
        <f t="shared" si="4"/>
        <v>0</v>
      </c>
      <c r="AN15" t="b">
        <f t="shared" si="5"/>
        <v>1</v>
      </c>
      <c r="AO15">
        <f t="shared" si="6"/>
        <v>8</v>
      </c>
      <c r="AP15">
        <f t="shared" si="7"/>
        <v>1</v>
      </c>
      <c r="AQ15">
        <f t="shared" si="0"/>
        <v>1</v>
      </c>
      <c r="AR15">
        <f t="shared" si="0"/>
        <v>0</v>
      </c>
      <c r="AS15">
        <f t="shared" si="0"/>
        <v>1</v>
      </c>
      <c r="AT15">
        <f t="shared" si="0"/>
        <v>1</v>
      </c>
      <c r="AU15">
        <f t="shared" si="0"/>
        <v>0</v>
      </c>
      <c r="AV15">
        <f t="shared" si="0"/>
        <v>1</v>
      </c>
      <c r="AW15">
        <f t="shared" si="0"/>
        <v>1</v>
      </c>
      <c r="AX15">
        <f t="shared" si="0"/>
        <v>0</v>
      </c>
      <c r="AY15">
        <f t="shared" si="0"/>
        <v>1</v>
      </c>
      <c r="AZ15">
        <f t="shared" si="0"/>
        <v>1</v>
      </c>
      <c r="BA15">
        <f t="shared" si="0"/>
        <v>0</v>
      </c>
      <c r="BB15">
        <f t="shared" si="8"/>
        <v>48712.946447499824</v>
      </c>
      <c r="BC15">
        <f t="shared" si="9"/>
        <v>48712.946447499824</v>
      </c>
      <c r="BD15">
        <f t="shared" si="10"/>
        <v>0</v>
      </c>
      <c r="BE15">
        <f t="shared" si="11"/>
        <v>48712.946447499824</v>
      </c>
      <c r="BF15">
        <f t="shared" si="12"/>
        <v>48712.946447499824</v>
      </c>
      <c r="BG15">
        <f t="shared" si="13"/>
        <v>0</v>
      </c>
      <c r="BH15">
        <f t="shared" si="14"/>
        <v>48712.946447499824</v>
      </c>
      <c r="BI15">
        <f t="shared" si="15"/>
        <v>48712.946447499824</v>
      </c>
      <c r="BJ15">
        <f t="shared" si="16"/>
        <v>0</v>
      </c>
      <c r="BK15">
        <f t="shared" si="17"/>
        <v>48712.946447499824</v>
      </c>
      <c r="BL15">
        <f t="shared" si="18"/>
        <v>48712.946447499824</v>
      </c>
      <c r="BM15">
        <f t="shared" si="19"/>
        <v>0</v>
      </c>
      <c r="BN15">
        <f t="shared" si="20"/>
        <v>30563.260335114443</v>
      </c>
      <c r="BO15">
        <f t="shared" si="21"/>
        <v>30563.260335114443</v>
      </c>
      <c r="BP15">
        <f t="shared" si="22"/>
        <v>0</v>
      </c>
      <c r="BQ15">
        <f t="shared" si="23"/>
        <v>30563.260335114443</v>
      </c>
      <c r="BR15">
        <f t="shared" si="24"/>
        <v>30563.260335114443</v>
      </c>
      <c r="BS15">
        <f t="shared" si="25"/>
        <v>0</v>
      </c>
      <c r="BT15">
        <f t="shared" si="26"/>
        <v>30563.260335114443</v>
      </c>
      <c r="BU15">
        <f t="shared" si="27"/>
        <v>30563.260335114443</v>
      </c>
      <c r="BV15">
        <f t="shared" si="28"/>
        <v>0</v>
      </c>
      <c r="BW15">
        <f t="shared" si="29"/>
        <v>30563.260335114443</v>
      </c>
      <c r="BX15">
        <f t="shared" si="30"/>
        <v>30563.260335114443</v>
      </c>
      <c r="BY15">
        <f t="shared" si="31"/>
        <v>0</v>
      </c>
    </row>
    <row r="16" spans="1:77" x14ac:dyDescent="0.25">
      <c r="AE16" s="79">
        <f>'Customer Pricing'!$B16</f>
        <v>1</v>
      </c>
      <c r="AF16" s="77">
        <f>'Customer Pricing'!$J16</f>
        <v>13586.852225710625</v>
      </c>
      <c r="AG16" s="77">
        <f>'Customer Pricing'!$E16</f>
        <v>4.0142972485054118</v>
      </c>
      <c r="AH16">
        <f>'Customer Pricing'!$I16</f>
        <v>2200</v>
      </c>
      <c r="AI16" s="79">
        <f>'Customer Pricing'!$L16</f>
        <v>1</v>
      </c>
      <c r="AJ16" t="str">
        <f>'Customer Pricing'!$O16</f>
        <v>January</v>
      </c>
      <c r="AK16" t="str">
        <f>'Customer Pricing'!$P16</f>
        <v>Quarterly</v>
      </c>
      <c r="AL16" cm="1">
        <f t="array" ref="AL16">IF(AJ16="",0, MATCH(LOWER(AJ16), LOWER($AA$1:$AA$12), 0))</f>
        <v>1</v>
      </c>
      <c r="AM16">
        <f t="shared" si="4"/>
        <v>3</v>
      </c>
      <c r="AN16" t="b">
        <f t="shared" si="5"/>
        <v>0</v>
      </c>
      <c r="AO16">
        <f t="shared" si="6"/>
        <v>4</v>
      </c>
      <c r="AP16">
        <f t="shared" si="7"/>
        <v>1</v>
      </c>
      <c r="AQ16">
        <f t="shared" si="0"/>
        <v>0</v>
      </c>
      <c r="AR16">
        <f t="shared" si="0"/>
        <v>0</v>
      </c>
      <c r="AS16">
        <f t="shared" si="0"/>
        <v>1</v>
      </c>
      <c r="AT16">
        <f t="shared" si="0"/>
        <v>0</v>
      </c>
      <c r="AU16">
        <f t="shared" si="0"/>
        <v>0</v>
      </c>
      <c r="AV16">
        <f t="shared" si="0"/>
        <v>1</v>
      </c>
      <c r="AW16">
        <f t="shared" si="0"/>
        <v>0</v>
      </c>
      <c r="AX16">
        <f t="shared" si="0"/>
        <v>0</v>
      </c>
      <c r="AY16">
        <f t="shared" si="0"/>
        <v>1</v>
      </c>
      <c r="AZ16">
        <f t="shared" si="0"/>
        <v>0</v>
      </c>
      <c r="BA16">
        <f t="shared" si="0"/>
        <v>0</v>
      </c>
      <c r="BB16">
        <f t="shared" si="8"/>
        <v>3396.7130564276563</v>
      </c>
      <c r="BC16">
        <f t="shared" si="9"/>
        <v>0</v>
      </c>
      <c r="BD16">
        <f t="shared" si="10"/>
        <v>0</v>
      </c>
      <c r="BE16">
        <f t="shared" si="11"/>
        <v>3396.7130564276563</v>
      </c>
      <c r="BF16">
        <f t="shared" si="12"/>
        <v>0</v>
      </c>
      <c r="BG16">
        <f t="shared" si="13"/>
        <v>0</v>
      </c>
      <c r="BH16">
        <f t="shared" si="14"/>
        <v>3396.7130564276563</v>
      </c>
      <c r="BI16">
        <f t="shared" si="15"/>
        <v>0</v>
      </c>
      <c r="BJ16">
        <f t="shared" si="16"/>
        <v>0</v>
      </c>
      <c r="BK16">
        <f t="shared" si="17"/>
        <v>3396.7130564276563</v>
      </c>
      <c r="BL16">
        <f t="shared" si="18"/>
        <v>0</v>
      </c>
      <c r="BM16">
        <f t="shared" si="19"/>
        <v>0</v>
      </c>
      <c r="BN16">
        <f t="shared" si="20"/>
        <v>2207.8634866779767</v>
      </c>
      <c r="BO16">
        <f t="shared" si="21"/>
        <v>0</v>
      </c>
      <c r="BP16">
        <f t="shared" si="22"/>
        <v>0</v>
      </c>
      <c r="BQ16">
        <f t="shared" si="23"/>
        <v>2207.8634866779767</v>
      </c>
      <c r="BR16">
        <f t="shared" si="24"/>
        <v>0</v>
      </c>
      <c r="BS16">
        <f t="shared" si="25"/>
        <v>0</v>
      </c>
      <c r="BT16">
        <f t="shared" si="26"/>
        <v>2207.8634866779767</v>
      </c>
      <c r="BU16">
        <f t="shared" si="27"/>
        <v>0</v>
      </c>
      <c r="BV16">
        <f t="shared" si="28"/>
        <v>0</v>
      </c>
      <c r="BW16">
        <f t="shared" si="29"/>
        <v>2207.8634866779767</v>
      </c>
      <c r="BX16">
        <f t="shared" si="30"/>
        <v>0</v>
      </c>
      <c r="BY16">
        <f t="shared" si="31"/>
        <v>0</v>
      </c>
    </row>
    <row r="17" spans="31:77" x14ac:dyDescent="0.25">
      <c r="AE17" s="79">
        <f>'Customer Pricing'!$B17</f>
        <v>1</v>
      </c>
      <c r="AF17" s="77">
        <f>'Customer Pricing'!$J17</f>
        <v>73392.145171816243</v>
      </c>
      <c r="AG17" s="77">
        <f>'Customer Pricing'!$E17</f>
        <v>4.4279739819107151</v>
      </c>
      <c r="AH17">
        <f>'Customer Pricing'!$I17</f>
        <v>13200</v>
      </c>
      <c r="AI17" s="79">
        <f>'Customer Pricing'!$L17</f>
        <v>1</v>
      </c>
      <c r="AJ17" t="str">
        <f>'Customer Pricing'!$O17</f>
        <v>January</v>
      </c>
      <c r="AK17" t="str">
        <f>'Customer Pricing'!$P17</f>
        <v>Quarterly</v>
      </c>
      <c r="AL17" cm="1">
        <f t="array" ref="AL17">IF(AJ17="",0, MATCH(LOWER(AJ17), LOWER($AA$1:$AA$12), 0))</f>
        <v>1</v>
      </c>
      <c r="AM17">
        <f t="shared" si="4"/>
        <v>3</v>
      </c>
      <c r="AN17" t="b">
        <f t="shared" si="5"/>
        <v>0</v>
      </c>
      <c r="AO17">
        <f t="shared" si="6"/>
        <v>4</v>
      </c>
      <c r="AP17">
        <f t="shared" si="7"/>
        <v>1</v>
      </c>
      <c r="AQ17">
        <f t="shared" si="0"/>
        <v>0</v>
      </c>
      <c r="AR17">
        <f t="shared" si="0"/>
        <v>0</v>
      </c>
      <c r="AS17">
        <f t="shared" si="0"/>
        <v>1</v>
      </c>
      <c r="AT17">
        <f t="shared" si="0"/>
        <v>0</v>
      </c>
      <c r="AU17">
        <f t="shared" si="0"/>
        <v>0</v>
      </c>
      <c r="AV17">
        <f t="shared" si="0"/>
        <v>1</v>
      </c>
      <c r="AW17">
        <f t="shared" si="0"/>
        <v>0</v>
      </c>
      <c r="AX17">
        <f t="shared" si="0"/>
        <v>0</v>
      </c>
      <c r="AY17">
        <f t="shared" si="0"/>
        <v>1</v>
      </c>
      <c r="AZ17">
        <f t="shared" si="0"/>
        <v>0</v>
      </c>
      <c r="BA17">
        <f t="shared" si="0"/>
        <v>0</v>
      </c>
      <c r="BB17">
        <f t="shared" si="8"/>
        <v>18348.036292954061</v>
      </c>
      <c r="BC17">
        <f t="shared" si="9"/>
        <v>0</v>
      </c>
      <c r="BD17">
        <f t="shared" si="10"/>
        <v>0</v>
      </c>
      <c r="BE17">
        <f t="shared" si="11"/>
        <v>18348.036292954061</v>
      </c>
      <c r="BF17">
        <f t="shared" si="12"/>
        <v>0</v>
      </c>
      <c r="BG17">
        <f t="shared" si="13"/>
        <v>0</v>
      </c>
      <c r="BH17">
        <f t="shared" si="14"/>
        <v>18348.036292954061</v>
      </c>
      <c r="BI17">
        <f t="shared" si="15"/>
        <v>0</v>
      </c>
      <c r="BJ17">
        <f t="shared" si="16"/>
        <v>0</v>
      </c>
      <c r="BK17">
        <f t="shared" si="17"/>
        <v>18348.036292954061</v>
      </c>
      <c r="BL17">
        <f t="shared" si="18"/>
        <v>0</v>
      </c>
      <c r="BM17">
        <f t="shared" si="19"/>
        <v>0</v>
      </c>
      <c r="BN17">
        <f t="shared" si="20"/>
        <v>14612.31414030536</v>
      </c>
      <c r="BO17">
        <f t="shared" si="21"/>
        <v>0</v>
      </c>
      <c r="BP17">
        <f t="shared" si="22"/>
        <v>0</v>
      </c>
      <c r="BQ17">
        <f t="shared" si="23"/>
        <v>14612.31414030536</v>
      </c>
      <c r="BR17">
        <f t="shared" si="24"/>
        <v>0</v>
      </c>
      <c r="BS17">
        <f t="shared" si="25"/>
        <v>0</v>
      </c>
      <c r="BT17">
        <f t="shared" si="26"/>
        <v>14612.31414030536</v>
      </c>
      <c r="BU17">
        <f t="shared" si="27"/>
        <v>0</v>
      </c>
      <c r="BV17">
        <f t="shared" si="28"/>
        <v>0</v>
      </c>
      <c r="BW17">
        <f t="shared" si="29"/>
        <v>14612.31414030536</v>
      </c>
      <c r="BX17">
        <f t="shared" si="30"/>
        <v>0</v>
      </c>
      <c r="BY17">
        <f t="shared" si="31"/>
        <v>0</v>
      </c>
    </row>
    <row r="18" spans="31:77" x14ac:dyDescent="0.25">
      <c r="AE18" s="79">
        <f>'Customer Pricing'!$B18</f>
        <v>1</v>
      </c>
      <c r="AF18" s="77">
        <f>'Customer Pricing'!$J18</f>
        <v>164366.40332942619</v>
      </c>
      <c r="AG18" s="77">
        <f>'Customer Pricing'!$E18</f>
        <v>51.563534758824652</v>
      </c>
      <c r="AH18">
        <f>'Customer Pricing'!$I18</f>
        <v>2640</v>
      </c>
      <c r="AI18" s="79">
        <f>'Customer Pricing'!$L18</f>
        <v>1</v>
      </c>
      <c r="AJ18" t="str">
        <f>'Customer Pricing'!$O18</f>
        <v>January</v>
      </c>
      <c r="AK18" t="str">
        <f>'Customer Pricing'!$P18</f>
        <v>Quarterly</v>
      </c>
      <c r="AL18" cm="1">
        <f t="array" ref="AL18">IF(AJ18="",0, MATCH(LOWER(AJ18), LOWER($AA$1:$AA$12), 0))</f>
        <v>1</v>
      </c>
      <c r="AM18">
        <f t="shared" si="4"/>
        <v>3</v>
      </c>
      <c r="AN18" t="b">
        <f t="shared" si="5"/>
        <v>0</v>
      </c>
      <c r="AO18">
        <f t="shared" si="6"/>
        <v>4</v>
      </c>
      <c r="AP18">
        <f t="shared" si="7"/>
        <v>1</v>
      </c>
      <c r="AQ18">
        <f t="shared" si="7"/>
        <v>0</v>
      </c>
      <c r="AR18">
        <f t="shared" si="7"/>
        <v>0</v>
      </c>
      <c r="AS18">
        <f t="shared" si="7"/>
        <v>1</v>
      </c>
      <c r="AT18">
        <f t="shared" si="7"/>
        <v>0</v>
      </c>
      <c r="AU18">
        <f t="shared" si="7"/>
        <v>0</v>
      </c>
      <c r="AV18">
        <f t="shared" si="7"/>
        <v>1</v>
      </c>
      <c r="AW18">
        <f t="shared" si="7"/>
        <v>0</v>
      </c>
      <c r="AX18">
        <f t="shared" si="7"/>
        <v>0</v>
      </c>
      <c r="AY18">
        <f t="shared" si="7"/>
        <v>1</v>
      </c>
      <c r="AZ18">
        <f t="shared" si="7"/>
        <v>0</v>
      </c>
      <c r="BA18">
        <f t="shared" si="7"/>
        <v>0</v>
      </c>
      <c r="BB18">
        <f t="shared" si="8"/>
        <v>41091.600832356547</v>
      </c>
      <c r="BC18">
        <f t="shared" si="9"/>
        <v>0</v>
      </c>
      <c r="BD18">
        <f t="shared" si="10"/>
        <v>0</v>
      </c>
      <c r="BE18">
        <f t="shared" si="11"/>
        <v>41091.600832356547</v>
      </c>
      <c r="BF18">
        <f t="shared" si="12"/>
        <v>0</v>
      </c>
      <c r="BG18">
        <f t="shared" si="13"/>
        <v>0</v>
      </c>
      <c r="BH18">
        <f t="shared" si="14"/>
        <v>41091.600832356547</v>
      </c>
      <c r="BI18">
        <f t="shared" si="15"/>
        <v>0</v>
      </c>
      <c r="BJ18">
        <f t="shared" si="16"/>
        <v>0</v>
      </c>
      <c r="BK18">
        <f t="shared" si="17"/>
        <v>41091.600832356547</v>
      </c>
      <c r="BL18">
        <f t="shared" si="18"/>
        <v>0</v>
      </c>
      <c r="BM18">
        <f t="shared" si="19"/>
        <v>0</v>
      </c>
      <c r="BN18">
        <f t="shared" si="20"/>
        <v>34031.93294082427</v>
      </c>
      <c r="BO18">
        <f t="shared" si="21"/>
        <v>0</v>
      </c>
      <c r="BP18">
        <f t="shared" si="22"/>
        <v>0</v>
      </c>
      <c r="BQ18">
        <f t="shared" si="23"/>
        <v>34031.93294082427</v>
      </c>
      <c r="BR18">
        <f t="shared" si="24"/>
        <v>0</v>
      </c>
      <c r="BS18">
        <f t="shared" si="25"/>
        <v>0</v>
      </c>
      <c r="BT18">
        <f t="shared" si="26"/>
        <v>34031.93294082427</v>
      </c>
      <c r="BU18">
        <f t="shared" si="27"/>
        <v>0</v>
      </c>
      <c r="BV18">
        <f t="shared" si="28"/>
        <v>0</v>
      </c>
      <c r="BW18">
        <f t="shared" si="29"/>
        <v>34031.93294082427</v>
      </c>
      <c r="BX18">
        <f t="shared" si="30"/>
        <v>0</v>
      </c>
      <c r="BY18">
        <f t="shared" si="31"/>
        <v>0</v>
      </c>
    </row>
    <row r="19" spans="31:77" x14ac:dyDescent="0.25">
      <c r="AE19" s="79">
        <f>'Customer Pricing'!$B19</f>
        <v>1</v>
      </c>
      <c r="AF19" s="77">
        <f>'Customer Pricing'!$J19</f>
        <v>13178.031389338865</v>
      </c>
      <c r="AG19" s="77">
        <f>'Customer Pricing'!$E19</f>
        <v>4.7829104335441031</v>
      </c>
      <c r="AH19">
        <f>'Customer Pricing'!$I19</f>
        <v>2200</v>
      </c>
      <c r="AI19" s="79">
        <f>'Customer Pricing'!$L19</f>
        <v>1</v>
      </c>
      <c r="AJ19" t="str">
        <f>'Customer Pricing'!$O19</f>
        <v>January</v>
      </c>
      <c r="AK19" t="str">
        <f>'Customer Pricing'!$P19</f>
        <v>Quarterly</v>
      </c>
      <c r="AL19" cm="1">
        <f t="array" ref="AL19">IF(AJ19="",0, MATCH(LOWER(AJ19), LOWER($AA$1:$AA$12), 0))</f>
        <v>1</v>
      </c>
      <c r="AM19">
        <f t="shared" si="4"/>
        <v>3</v>
      </c>
      <c r="AN19" t="b">
        <f t="shared" si="5"/>
        <v>0</v>
      </c>
      <c r="AO19">
        <f t="shared" si="6"/>
        <v>4</v>
      </c>
      <c r="AP19">
        <f t="shared" si="7"/>
        <v>1</v>
      </c>
      <c r="AQ19">
        <f t="shared" si="7"/>
        <v>0</v>
      </c>
      <c r="AR19">
        <f t="shared" si="7"/>
        <v>0</v>
      </c>
      <c r="AS19">
        <f t="shared" si="7"/>
        <v>1</v>
      </c>
      <c r="AT19">
        <f t="shared" si="7"/>
        <v>0</v>
      </c>
      <c r="AU19">
        <f t="shared" si="7"/>
        <v>0</v>
      </c>
      <c r="AV19">
        <f t="shared" si="7"/>
        <v>1</v>
      </c>
      <c r="AW19">
        <f t="shared" si="7"/>
        <v>0</v>
      </c>
      <c r="AX19">
        <f t="shared" si="7"/>
        <v>0</v>
      </c>
      <c r="AY19">
        <f t="shared" si="7"/>
        <v>1</v>
      </c>
      <c r="AZ19">
        <f t="shared" si="7"/>
        <v>0</v>
      </c>
      <c r="BA19">
        <f t="shared" si="7"/>
        <v>0</v>
      </c>
      <c r="BB19">
        <f t="shared" si="8"/>
        <v>3294.5078473347162</v>
      </c>
      <c r="BC19">
        <f t="shared" si="9"/>
        <v>0</v>
      </c>
      <c r="BD19">
        <f t="shared" si="10"/>
        <v>0</v>
      </c>
      <c r="BE19">
        <f t="shared" si="11"/>
        <v>3294.5078473347162</v>
      </c>
      <c r="BF19">
        <f t="shared" si="12"/>
        <v>0</v>
      </c>
      <c r="BG19">
        <f t="shared" si="13"/>
        <v>0</v>
      </c>
      <c r="BH19">
        <f t="shared" si="14"/>
        <v>3294.5078473347162</v>
      </c>
      <c r="BI19">
        <f t="shared" si="15"/>
        <v>0</v>
      </c>
      <c r="BJ19">
        <f t="shared" si="16"/>
        <v>0</v>
      </c>
      <c r="BK19">
        <f t="shared" si="17"/>
        <v>3294.5078473347162</v>
      </c>
      <c r="BL19">
        <f t="shared" si="18"/>
        <v>0</v>
      </c>
      <c r="BM19">
        <f t="shared" si="19"/>
        <v>0</v>
      </c>
      <c r="BN19">
        <f t="shared" si="20"/>
        <v>2630.6007384492568</v>
      </c>
      <c r="BO19">
        <f t="shared" si="21"/>
        <v>0</v>
      </c>
      <c r="BP19">
        <f t="shared" si="22"/>
        <v>0</v>
      </c>
      <c r="BQ19">
        <f t="shared" si="23"/>
        <v>2630.6007384492568</v>
      </c>
      <c r="BR19">
        <f t="shared" si="24"/>
        <v>0</v>
      </c>
      <c r="BS19">
        <f t="shared" si="25"/>
        <v>0</v>
      </c>
      <c r="BT19">
        <f t="shared" si="26"/>
        <v>2630.6007384492568</v>
      </c>
      <c r="BU19">
        <f t="shared" si="27"/>
        <v>0</v>
      </c>
      <c r="BV19">
        <f t="shared" si="28"/>
        <v>0</v>
      </c>
      <c r="BW19">
        <f t="shared" si="29"/>
        <v>2630.6007384492568</v>
      </c>
      <c r="BX19">
        <f t="shared" si="30"/>
        <v>0</v>
      </c>
      <c r="BY19">
        <f t="shared" si="31"/>
        <v>0</v>
      </c>
    </row>
    <row r="20" spans="31:77" x14ac:dyDescent="0.25">
      <c r="AE20" s="79">
        <f>'Customer Pricing'!$B20</f>
        <v>0.9</v>
      </c>
      <c r="AF20" s="77">
        <f>'Customer Pricing'!$J20</f>
        <v>339999.60166671989</v>
      </c>
      <c r="AG20" s="77">
        <f>'Customer Pricing'!$E20</f>
        <v>51.473723362756402</v>
      </c>
      <c r="AH20">
        <f>'Customer Pricing'!$I20</f>
        <v>3400</v>
      </c>
      <c r="AI20" s="79">
        <f>'Customer Pricing'!$L20</f>
        <v>1</v>
      </c>
      <c r="AJ20" t="str">
        <f>'Customer Pricing'!$O20</f>
        <v>January</v>
      </c>
      <c r="AK20" t="str">
        <f>'Customer Pricing'!$P20</f>
        <v>Every Month</v>
      </c>
      <c r="AL20" cm="1">
        <f t="array" ref="AL20">IF(AJ20="",0, MATCH(LOWER(AJ20), LOWER($AA$1:$AA$12), 0))</f>
        <v>1</v>
      </c>
      <c r="AM20">
        <f t="shared" si="4"/>
        <v>1</v>
      </c>
      <c r="AN20" t="b">
        <f t="shared" si="5"/>
        <v>0</v>
      </c>
      <c r="AO20">
        <f t="shared" si="6"/>
        <v>12</v>
      </c>
      <c r="AP20">
        <f t="shared" si="7"/>
        <v>1</v>
      </c>
      <c r="AQ20">
        <f t="shared" si="7"/>
        <v>1</v>
      </c>
      <c r="AR20">
        <f t="shared" si="7"/>
        <v>1</v>
      </c>
      <c r="AS20">
        <f t="shared" si="7"/>
        <v>1</v>
      </c>
      <c r="AT20">
        <f t="shared" si="7"/>
        <v>1</v>
      </c>
      <c r="AU20">
        <f t="shared" si="7"/>
        <v>1</v>
      </c>
      <c r="AV20">
        <f t="shared" si="7"/>
        <v>1</v>
      </c>
      <c r="AW20">
        <f t="shared" si="7"/>
        <v>1</v>
      </c>
      <c r="AX20">
        <f t="shared" si="7"/>
        <v>1</v>
      </c>
      <c r="AY20">
        <f t="shared" si="7"/>
        <v>1</v>
      </c>
      <c r="AZ20">
        <f t="shared" si="7"/>
        <v>1</v>
      </c>
      <c r="BA20">
        <f t="shared" si="7"/>
        <v>1</v>
      </c>
      <c r="BB20">
        <f t="shared" si="8"/>
        <v>28333.300138893323</v>
      </c>
      <c r="BC20">
        <f t="shared" si="9"/>
        <v>28333.300138893323</v>
      </c>
      <c r="BD20">
        <f t="shared" si="10"/>
        <v>28333.300138893323</v>
      </c>
      <c r="BE20">
        <f t="shared" si="11"/>
        <v>28333.300138893323</v>
      </c>
      <c r="BF20">
        <f t="shared" si="12"/>
        <v>28333.300138893323</v>
      </c>
      <c r="BG20">
        <f t="shared" si="13"/>
        <v>28333.300138893323</v>
      </c>
      <c r="BH20">
        <f t="shared" si="14"/>
        <v>28333.300138893323</v>
      </c>
      <c r="BI20">
        <f t="shared" si="15"/>
        <v>28333.300138893323</v>
      </c>
      <c r="BJ20">
        <f t="shared" si="16"/>
        <v>28333.300138893323</v>
      </c>
      <c r="BK20">
        <f t="shared" si="17"/>
        <v>28333.300138893323</v>
      </c>
      <c r="BL20">
        <f t="shared" si="18"/>
        <v>28333.300138893323</v>
      </c>
      <c r="BM20">
        <f t="shared" si="19"/>
        <v>28333.300138893323</v>
      </c>
      <c r="BN20">
        <f t="shared" si="20"/>
        <v>14584.221619447648</v>
      </c>
      <c r="BO20">
        <f t="shared" si="21"/>
        <v>14584.221619447648</v>
      </c>
      <c r="BP20">
        <f t="shared" si="22"/>
        <v>14584.221619447648</v>
      </c>
      <c r="BQ20">
        <f t="shared" si="23"/>
        <v>14584.221619447648</v>
      </c>
      <c r="BR20">
        <f t="shared" si="24"/>
        <v>14584.221619447648</v>
      </c>
      <c r="BS20">
        <f t="shared" si="25"/>
        <v>14584.221619447648</v>
      </c>
      <c r="BT20">
        <f t="shared" si="26"/>
        <v>14584.221619447648</v>
      </c>
      <c r="BU20">
        <f t="shared" si="27"/>
        <v>14584.221619447648</v>
      </c>
      <c r="BV20">
        <f t="shared" si="28"/>
        <v>14584.221619447648</v>
      </c>
      <c r="BW20">
        <f t="shared" si="29"/>
        <v>14584.221619447648</v>
      </c>
      <c r="BX20">
        <f t="shared" si="30"/>
        <v>14584.221619447648</v>
      </c>
      <c r="BY20">
        <f t="shared" si="31"/>
        <v>14584.221619447648</v>
      </c>
    </row>
    <row r="21" spans="31:77" x14ac:dyDescent="0.25">
      <c r="AE21" s="79">
        <f>'Customer Pricing'!$B21</f>
        <v>0.9</v>
      </c>
      <c r="AF21" s="77">
        <f>'Customer Pricing'!$J21</f>
        <v>612498.56312495167</v>
      </c>
      <c r="AG21" s="77">
        <f>'Customer Pricing'!$E21</f>
        <v>5.983456828841252</v>
      </c>
      <c r="AH21">
        <f>'Customer Pricing'!$I21</f>
        <v>70000</v>
      </c>
      <c r="AI21" s="79">
        <f>'Customer Pricing'!$L21</f>
        <v>1</v>
      </c>
      <c r="AJ21" t="str">
        <f>'Customer Pricing'!$O21</f>
        <v>January</v>
      </c>
      <c r="AK21" t="str">
        <f>'Customer Pricing'!$P21</f>
        <v>Every Other Month</v>
      </c>
      <c r="AL21" cm="1">
        <f t="array" ref="AL21">IF(AJ21="",0, MATCH(LOWER(AJ21), LOWER($AA$1:$AA$12), 0))</f>
        <v>1</v>
      </c>
      <c r="AM21">
        <f t="shared" si="4"/>
        <v>1</v>
      </c>
      <c r="AN21" t="b">
        <f t="shared" si="5"/>
        <v>0</v>
      </c>
      <c r="AO21">
        <f t="shared" si="6"/>
        <v>12</v>
      </c>
      <c r="AP21">
        <f t="shared" si="7"/>
        <v>1</v>
      </c>
      <c r="AQ21">
        <f t="shared" si="7"/>
        <v>1</v>
      </c>
      <c r="AR21">
        <f t="shared" si="7"/>
        <v>1</v>
      </c>
      <c r="AS21">
        <f t="shared" si="7"/>
        <v>1</v>
      </c>
      <c r="AT21">
        <f t="shared" si="7"/>
        <v>1</v>
      </c>
      <c r="AU21">
        <f t="shared" si="7"/>
        <v>1</v>
      </c>
      <c r="AV21">
        <f t="shared" si="7"/>
        <v>1</v>
      </c>
      <c r="AW21">
        <f t="shared" si="7"/>
        <v>1</v>
      </c>
      <c r="AX21">
        <f t="shared" si="7"/>
        <v>1</v>
      </c>
      <c r="AY21">
        <f t="shared" si="7"/>
        <v>1</v>
      </c>
      <c r="AZ21">
        <f t="shared" si="7"/>
        <v>1</v>
      </c>
      <c r="BA21">
        <f t="shared" si="7"/>
        <v>1</v>
      </c>
      <c r="BB21">
        <f t="shared" si="8"/>
        <v>51041.546927079304</v>
      </c>
      <c r="BC21">
        <f t="shared" si="9"/>
        <v>51041.546927079304</v>
      </c>
      <c r="BD21">
        <f t="shared" si="10"/>
        <v>51041.546927079304</v>
      </c>
      <c r="BE21">
        <f t="shared" si="11"/>
        <v>51041.546927079304</v>
      </c>
      <c r="BF21">
        <f t="shared" si="12"/>
        <v>51041.546927079304</v>
      </c>
      <c r="BG21">
        <f t="shared" si="13"/>
        <v>51041.546927079304</v>
      </c>
      <c r="BH21">
        <f t="shared" si="14"/>
        <v>51041.546927079304</v>
      </c>
      <c r="BI21">
        <f t="shared" si="15"/>
        <v>51041.546927079304</v>
      </c>
      <c r="BJ21">
        <f t="shared" si="16"/>
        <v>51041.546927079304</v>
      </c>
      <c r="BK21">
        <f t="shared" si="17"/>
        <v>51041.546927079304</v>
      </c>
      <c r="BL21">
        <f t="shared" si="18"/>
        <v>51041.546927079304</v>
      </c>
      <c r="BM21">
        <f t="shared" si="19"/>
        <v>51041.546927079304</v>
      </c>
      <c r="BN21">
        <f t="shared" si="20"/>
        <v>34903.498168240636</v>
      </c>
      <c r="BO21">
        <f t="shared" si="21"/>
        <v>34903.498168240636</v>
      </c>
      <c r="BP21">
        <f t="shared" si="22"/>
        <v>34903.498168240636</v>
      </c>
      <c r="BQ21">
        <f t="shared" si="23"/>
        <v>34903.498168240636</v>
      </c>
      <c r="BR21">
        <f t="shared" si="24"/>
        <v>34903.498168240636</v>
      </c>
      <c r="BS21">
        <f t="shared" si="25"/>
        <v>34903.498168240636</v>
      </c>
      <c r="BT21">
        <f t="shared" si="26"/>
        <v>34903.498168240636</v>
      </c>
      <c r="BU21">
        <f t="shared" si="27"/>
        <v>34903.498168240636</v>
      </c>
      <c r="BV21">
        <f t="shared" si="28"/>
        <v>34903.498168240636</v>
      </c>
      <c r="BW21">
        <f t="shared" si="29"/>
        <v>34903.498168240636</v>
      </c>
      <c r="BX21">
        <f t="shared" si="30"/>
        <v>34903.498168240636</v>
      </c>
      <c r="BY21">
        <f t="shared" si="31"/>
        <v>34903.498168240636</v>
      </c>
    </row>
    <row r="22" spans="31:77" x14ac:dyDescent="0.25">
      <c r="AE22" s="79">
        <f>'Customer Pricing'!$B22</f>
        <v>0.9</v>
      </c>
      <c r="AF22" s="77">
        <f>'Customer Pricing'!$J22</f>
        <v>38100.460594423705</v>
      </c>
      <c r="AG22" s="77">
        <f>'Customer Pricing'!$E22</f>
        <v>26.095200079832356</v>
      </c>
      <c r="AH22">
        <f>'Customer Pricing'!$I22</f>
        <v>1200</v>
      </c>
      <c r="AI22" s="79">
        <f>'Customer Pricing'!$L22</f>
        <v>1</v>
      </c>
      <c r="AJ22" t="str">
        <f>'Customer Pricing'!$O22</f>
        <v>January</v>
      </c>
      <c r="AK22" t="str">
        <f>'Customer Pricing'!$P22</f>
        <v>Every 6 Weeks</v>
      </c>
      <c r="AL22" cm="1">
        <f t="array" ref="AL22">IF(AJ22="",0, MATCH(LOWER(AJ22), LOWER($AA$1:$AA$12), 0))</f>
        <v>1</v>
      </c>
      <c r="AM22">
        <f t="shared" si="4"/>
        <v>0</v>
      </c>
      <c r="AN22" t="b">
        <f t="shared" si="5"/>
        <v>1</v>
      </c>
      <c r="AO22">
        <f t="shared" si="6"/>
        <v>8</v>
      </c>
      <c r="AP22">
        <f t="shared" si="7"/>
        <v>1</v>
      </c>
      <c r="AQ22">
        <f t="shared" si="7"/>
        <v>1</v>
      </c>
      <c r="AR22">
        <f t="shared" si="7"/>
        <v>0</v>
      </c>
      <c r="AS22">
        <f t="shared" si="7"/>
        <v>1</v>
      </c>
      <c r="AT22">
        <f t="shared" si="7"/>
        <v>1</v>
      </c>
      <c r="AU22">
        <f t="shared" si="7"/>
        <v>0</v>
      </c>
      <c r="AV22">
        <f t="shared" si="7"/>
        <v>1</v>
      </c>
      <c r="AW22">
        <f t="shared" si="7"/>
        <v>1</v>
      </c>
      <c r="AX22">
        <f t="shared" si="7"/>
        <v>0</v>
      </c>
      <c r="AY22">
        <f t="shared" si="7"/>
        <v>1</v>
      </c>
      <c r="AZ22">
        <f t="shared" si="7"/>
        <v>1</v>
      </c>
      <c r="BA22">
        <f t="shared" si="7"/>
        <v>0</v>
      </c>
      <c r="BB22">
        <f t="shared" si="8"/>
        <v>4762.5575743029631</v>
      </c>
      <c r="BC22">
        <f t="shared" si="9"/>
        <v>4762.5575743029631</v>
      </c>
      <c r="BD22">
        <f t="shared" si="10"/>
        <v>0</v>
      </c>
      <c r="BE22">
        <f t="shared" si="11"/>
        <v>4762.5575743029631</v>
      </c>
      <c r="BF22">
        <f t="shared" si="12"/>
        <v>4762.5575743029631</v>
      </c>
      <c r="BG22">
        <f t="shared" si="13"/>
        <v>0</v>
      </c>
      <c r="BH22">
        <f t="shared" si="14"/>
        <v>4762.5575743029631</v>
      </c>
      <c r="BI22">
        <f t="shared" si="15"/>
        <v>4762.5575743029631</v>
      </c>
      <c r="BJ22">
        <f t="shared" si="16"/>
        <v>0</v>
      </c>
      <c r="BK22">
        <f t="shared" si="17"/>
        <v>4762.5575743029631</v>
      </c>
      <c r="BL22">
        <f t="shared" si="18"/>
        <v>4762.5575743029631</v>
      </c>
      <c r="BM22">
        <f t="shared" si="19"/>
        <v>0</v>
      </c>
      <c r="BN22">
        <f t="shared" si="20"/>
        <v>3914.2800119748536</v>
      </c>
      <c r="BO22">
        <f t="shared" si="21"/>
        <v>3914.2800119748536</v>
      </c>
      <c r="BP22">
        <f t="shared" si="22"/>
        <v>0</v>
      </c>
      <c r="BQ22">
        <f t="shared" si="23"/>
        <v>3914.2800119748536</v>
      </c>
      <c r="BR22">
        <f t="shared" si="24"/>
        <v>3914.2800119748536</v>
      </c>
      <c r="BS22">
        <f t="shared" si="25"/>
        <v>0</v>
      </c>
      <c r="BT22">
        <f t="shared" si="26"/>
        <v>3914.2800119748536</v>
      </c>
      <c r="BU22">
        <f t="shared" si="27"/>
        <v>3914.2800119748536</v>
      </c>
      <c r="BV22">
        <f t="shared" si="28"/>
        <v>0</v>
      </c>
      <c r="BW22">
        <f t="shared" si="29"/>
        <v>3914.2800119748536</v>
      </c>
      <c r="BX22">
        <f t="shared" si="30"/>
        <v>3914.2800119748536</v>
      </c>
      <c r="BY22">
        <f t="shared" si="31"/>
        <v>0</v>
      </c>
    </row>
    <row r="23" spans="31:77" x14ac:dyDescent="0.25">
      <c r="AE23" s="79">
        <f>'Customer Pricing'!$B23</f>
        <v>1</v>
      </c>
      <c r="AF23" s="77">
        <f>'Customer Pricing'!$J23</f>
        <v>512500.17630242661</v>
      </c>
      <c r="AG23" s="77">
        <f>'Customer Pricing'!$E23</f>
        <v>7.3221235405648137</v>
      </c>
      <c r="AH23">
        <f>'Customer Pricing'!$I23</f>
        <v>50000</v>
      </c>
      <c r="AI23" s="79">
        <f>'Customer Pricing'!$L23</f>
        <v>1</v>
      </c>
      <c r="AJ23" t="str">
        <f>'Customer Pricing'!$O23</f>
        <v>January</v>
      </c>
      <c r="AK23" t="str">
        <f>'Customer Pricing'!$P23</f>
        <v>Every 6 Weeks</v>
      </c>
      <c r="AL23" cm="1">
        <f t="array" ref="AL23">IF(AJ23="",0, MATCH(LOWER(AJ23), LOWER($AA$1:$AA$12), 0))</f>
        <v>1</v>
      </c>
      <c r="AM23">
        <f t="shared" si="4"/>
        <v>0</v>
      </c>
      <c r="AN23" t="b">
        <f t="shared" si="5"/>
        <v>1</v>
      </c>
      <c r="AO23">
        <f t="shared" si="6"/>
        <v>8</v>
      </c>
      <c r="AP23">
        <f t="shared" si="7"/>
        <v>1</v>
      </c>
      <c r="AQ23">
        <f t="shared" si="7"/>
        <v>1</v>
      </c>
      <c r="AR23">
        <f t="shared" si="7"/>
        <v>0</v>
      </c>
      <c r="AS23">
        <f t="shared" si="7"/>
        <v>1</v>
      </c>
      <c r="AT23">
        <f t="shared" si="7"/>
        <v>1</v>
      </c>
      <c r="AU23">
        <f t="shared" si="7"/>
        <v>0</v>
      </c>
      <c r="AV23">
        <f t="shared" si="7"/>
        <v>1</v>
      </c>
      <c r="AW23">
        <f t="shared" si="7"/>
        <v>1</v>
      </c>
      <c r="AX23">
        <f t="shared" si="7"/>
        <v>0</v>
      </c>
      <c r="AY23">
        <f t="shared" si="7"/>
        <v>1</v>
      </c>
      <c r="AZ23">
        <f t="shared" si="7"/>
        <v>1</v>
      </c>
      <c r="BA23">
        <f t="shared" si="7"/>
        <v>0</v>
      </c>
      <c r="BB23">
        <f t="shared" si="8"/>
        <v>64062.522037803326</v>
      </c>
      <c r="BC23">
        <f t="shared" si="9"/>
        <v>64062.522037803326</v>
      </c>
      <c r="BD23">
        <f t="shared" si="10"/>
        <v>0</v>
      </c>
      <c r="BE23">
        <f t="shared" si="11"/>
        <v>64062.522037803326</v>
      </c>
      <c r="BF23">
        <f t="shared" si="12"/>
        <v>64062.522037803326</v>
      </c>
      <c r="BG23">
        <f t="shared" si="13"/>
        <v>0</v>
      </c>
      <c r="BH23">
        <f t="shared" si="14"/>
        <v>64062.522037803326</v>
      </c>
      <c r="BI23">
        <f t="shared" si="15"/>
        <v>64062.522037803326</v>
      </c>
      <c r="BJ23">
        <f t="shared" si="16"/>
        <v>0</v>
      </c>
      <c r="BK23">
        <f t="shared" si="17"/>
        <v>64062.522037803326</v>
      </c>
      <c r="BL23">
        <f t="shared" si="18"/>
        <v>64062.522037803326</v>
      </c>
      <c r="BM23">
        <f t="shared" si="19"/>
        <v>0</v>
      </c>
      <c r="BN23">
        <f t="shared" si="20"/>
        <v>45763.272128530087</v>
      </c>
      <c r="BO23">
        <f t="shared" si="21"/>
        <v>45763.272128530087</v>
      </c>
      <c r="BP23">
        <f t="shared" si="22"/>
        <v>0</v>
      </c>
      <c r="BQ23">
        <f t="shared" si="23"/>
        <v>45763.272128530087</v>
      </c>
      <c r="BR23">
        <f t="shared" si="24"/>
        <v>45763.272128530087</v>
      </c>
      <c r="BS23">
        <f t="shared" si="25"/>
        <v>0</v>
      </c>
      <c r="BT23">
        <f t="shared" si="26"/>
        <v>45763.272128530087</v>
      </c>
      <c r="BU23">
        <f t="shared" si="27"/>
        <v>45763.272128530087</v>
      </c>
      <c r="BV23">
        <f t="shared" si="28"/>
        <v>0</v>
      </c>
      <c r="BW23">
        <f t="shared" si="29"/>
        <v>45763.272128530087</v>
      </c>
      <c r="BX23">
        <f t="shared" si="30"/>
        <v>45763.272128530087</v>
      </c>
      <c r="BY23">
        <f t="shared" si="31"/>
        <v>0</v>
      </c>
    </row>
    <row r="24" spans="31:77" x14ac:dyDescent="0.25">
      <c r="AE24" s="79">
        <f>'Customer Pricing'!$B24</f>
        <v>0.9</v>
      </c>
      <c r="AF24" s="77">
        <f>'Customer Pricing'!$J24</f>
        <v>310184.59719437669</v>
      </c>
      <c r="AG24" s="77">
        <f>'Customer Pricing'!$E24</f>
        <v>10.947691665683882</v>
      </c>
      <c r="AH24">
        <f>'Customer Pricing'!$I24</f>
        <v>17000</v>
      </c>
      <c r="AI24" s="79">
        <f>'Customer Pricing'!$L24</f>
        <v>1</v>
      </c>
      <c r="AJ24" t="str">
        <f>'Customer Pricing'!$O24</f>
        <v>January</v>
      </c>
      <c r="AK24" t="str">
        <f>'Customer Pricing'!$P24</f>
        <v>Every 6 Weeks</v>
      </c>
      <c r="AL24" cm="1">
        <f t="array" ref="AL24">IF(AJ24="",0, MATCH(LOWER(AJ24), LOWER($AA$1:$AA$12), 0))</f>
        <v>1</v>
      </c>
      <c r="AM24">
        <f t="shared" si="4"/>
        <v>0</v>
      </c>
      <c r="AN24" t="b">
        <f t="shared" si="5"/>
        <v>1</v>
      </c>
      <c r="AO24">
        <f t="shared" si="6"/>
        <v>8</v>
      </c>
      <c r="AP24">
        <f t="shared" si="7"/>
        <v>1</v>
      </c>
      <c r="AQ24">
        <f t="shared" si="7"/>
        <v>1</v>
      </c>
      <c r="AR24">
        <f t="shared" si="7"/>
        <v>0</v>
      </c>
      <c r="AS24">
        <f t="shared" si="7"/>
        <v>1</v>
      </c>
      <c r="AT24">
        <f t="shared" si="7"/>
        <v>1</v>
      </c>
      <c r="AU24">
        <f t="shared" si="7"/>
        <v>0</v>
      </c>
      <c r="AV24">
        <f t="shared" si="7"/>
        <v>1</v>
      </c>
      <c r="AW24">
        <f t="shared" si="7"/>
        <v>1</v>
      </c>
      <c r="AX24">
        <f t="shared" si="7"/>
        <v>0</v>
      </c>
      <c r="AY24">
        <f t="shared" si="7"/>
        <v>1</v>
      </c>
      <c r="AZ24">
        <f t="shared" si="7"/>
        <v>1</v>
      </c>
      <c r="BA24">
        <f t="shared" si="7"/>
        <v>0</v>
      </c>
      <c r="BB24">
        <f t="shared" si="8"/>
        <v>38773.074649297087</v>
      </c>
      <c r="BC24">
        <f t="shared" si="9"/>
        <v>38773.074649297087</v>
      </c>
      <c r="BD24">
        <f t="shared" si="10"/>
        <v>0</v>
      </c>
      <c r="BE24">
        <f t="shared" si="11"/>
        <v>38773.074649297087</v>
      </c>
      <c r="BF24">
        <f t="shared" si="12"/>
        <v>38773.074649297087</v>
      </c>
      <c r="BG24">
        <f t="shared" si="13"/>
        <v>0</v>
      </c>
      <c r="BH24">
        <f t="shared" si="14"/>
        <v>38773.074649297087</v>
      </c>
      <c r="BI24">
        <f t="shared" si="15"/>
        <v>38773.074649297087</v>
      </c>
      <c r="BJ24">
        <f t="shared" si="16"/>
        <v>0</v>
      </c>
      <c r="BK24">
        <f t="shared" si="17"/>
        <v>38773.074649297087</v>
      </c>
      <c r="BL24">
        <f t="shared" si="18"/>
        <v>38773.074649297087</v>
      </c>
      <c r="BM24">
        <f t="shared" si="19"/>
        <v>0</v>
      </c>
      <c r="BN24">
        <f t="shared" si="20"/>
        <v>23263.844789578248</v>
      </c>
      <c r="BO24">
        <f t="shared" si="21"/>
        <v>23263.844789578248</v>
      </c>
      <c r="BP24">
        <f t="shared" si="22"/>
        <v>0</v>
      </c>
      <c r="BQ24">
        <f t="shared" si="23"/>
        <v>23263.844789578248</v>
      </c>
      <c r="BR24">
        <f t="shared" si="24"/>
        <v>23263.844789578248</v>
      </c>
      <c r="BS24">
        <f t="shared" si="25"/>
        <v>0</v>
      </c>
      <c r="BT24">
        <f t="shared" si="26"/>
        <v>23263.844789578248</v>
      </c>
      <c r="BU24">
        <f t="shared" si="27"/>
        <v>23263.844789578248</v>
      </c>
      <c r="BV24">
        <f t="shared" si="28"/>
        <v>0</v>
      </c>
      <c r="BW24">
        <f t="shared" si="29"/>
        <v>23263.844789578248</v>
      </c>
      <c r="BX24">
        <f t="shared" si="30"/>
        <v>23263.844789578248</v>
      </c>
      <c r="BY24">
        <f t="shared" si="31"/>
        <v>0</v>
      </c>
    </row>
    <row r="25" spans="31:77" x14ac:dyDescent="0.25">
      <c r="AE25" s="79">
        <f>'Customer Pricing'!$B25</f>
        <v>0</v>
      </c>
      <c r="AF25" s="77">
        <f>'Customer Pricing'!$J25</f>
        <v>86007.185619184966</v>
      </c>
      <c r="AG25" s="77">
        <f>'Customer Pricing'!$E25</f>
        <v>4.7829104335441031</v>
      </c>
      <c r="AH25">
        <f>'Customer Pricing'!$I25</f>
        <v>10000</v>
      </c>
      <c r="AI25" s="79">
        <f>'Customer Pricing'!$L25</f>
        <v>1</v>
      </c>
      <c r="AJ25" t="str">
        <f>'Customer Pricing'!$O25</f>
        <v>January</v>
      </c>
      <c r="AK25" t="str">
        <f>'Customer Pricing'!$P25</f>
        <v>Semi-Annual</v>
      </c>
      <c r="AL25" cm="1">
        <f t="array" ref="AL25">IF(AJ25="",0, MATCH(LOWER(AJ25), LOWER($AA$1:$AA$12), 0))</f>
        <v>1</v>
      </c>
      <c r="AM25">
        <f t="shared" si="4"/>
        <v>6</v>
      </c>
      <c r="AN25" t="b">
        <f t="shared" si="5"/>
        <v>0</v>
      </c>
      <c r="AO25">
        <f t="shared" si="6"/>
        <v>2</v>
      </c>
      <c r="AP25">
        <f t="shared" si="7"/>
        <v>1</v>
      </c>
      <c r="AQ25">
        <f t="shared" si="7"/>
        <v>0</v>
      </c>
      <c r="AR25">
        <f t="shared" si="7"/>
        <v>0</v>
      </c>
      <c r="AS25">
        <f t="shared" si="7"/>
        <v>0</v>
      </c>
      <c r="AT25">
        <f t="shared" si="7"/>
        <v>0</v>
      </c>
      <c r="AU25">
        <f t="shared" si="7"/>
        <v>0</v>
      </c>
      <c r="AV25">
        <f t="shared" si="7"/>
        <v>1</v>
      </c>
      <c r="AW25">
        <f t="shared" si="7"/>
        <v>0</v>
      </c>
      <c r="AX25">
        <f t="shared" si="7"/>
        <v>0</v>
      </c>
      <c r="AY25">
        <f t="shared" si="7"/>
        <v>0</v>
      </c>
      <c r="AZ25">
        <f t="shared" si="7"/>
        <v>0</v>
      </c>
      <c r="BA25">
        <f t="shared" si="7"/>
        <v>0</v>
      </c>
      <c r="BB25">
        <f t="shared" si="8"/>
        <v>0</v>
      </c>
      <c r="BC25">
        <f t="shared" si="9"/>
        <v>0</v>
      </c>
      <c r="BD25">
        <f t="shared" si="10"/>
        <v>0</v>
      </c>
      <c r="BE25">
        <f t="shared" si="11"/>
        <v>0</v>
      </c>
      <c r="BF25">
        <f t="shared" si="12"/>
        <v>0</v>
      </c>
      <c r="BG25">
        <f t="shared" si="13"/>
        <v>0</v>
      </c>
      <c r="BH25">
        <f t="shared" si="14"/>
        <v>0</v>
      </c>
      <c r="BI25">
        <f t="shared" si="15"/>
        <v>0</v>
      </c>
      <c r="BJ25">
        <f t="shared" si="16"/>
        <v>0</v>
      </c>
      <c r="BK25">
        <f t="shared" si="17"/>
        <v>0</v>
      </c>
      <c r="BL25">
        <f t="shared" si="18"/>
        <v>0</v>
      </c>
      <c r="BM25">
        <f t="shared" si="19"/>
        <v>0</v>
      </c>
      <c r="BN25">
        <f t="shared" si="20"/>
        <v>0</v>
      </c>
      <c r="BO25">
        <f t="shared" si="21"/>
        <v>0</v>
      </c>
      <c r="BP25">
        <f t="shared" si="22"/>
        <v>0</v>
      </c>
      <c r="BQ25">
        <f t="shared" si="23"/>
        <v>0</v>
      </c>
      <c r="BR25">
        <f t="shared" si="24"/>
        <v>0</v>
      </c>
      <c r="BS25">
        <f t="shared" si="25"/>
        <v>0</v>
      </c>
      <c r="BT25">
        <f t="shared" si="26"/>
        <v>0</v>
      </c>
      <c r="BU25">
        <f t="shared" si="27"/>
        <v>0</v>
      </c>
      <c r="BV25">
        <f t="shared" si="28"/>
        <v>0</v>
      </c>
      <c r="BW25">
        <f t="shared" si="29"/>
        <v>0</v>
      </c>
      <c r="BX25">
        <f t="shared" si="30"/>
        <v>0</v>
      </c>
      <c r="BY25">
        <f t="shared" si="31"/>
        <v>0</v>
      </c>
    </row>
    <row r="26" spans="31:77" x14ac:dyDescent="0.25">
      <c r="AE26" s="79">
        <f>'Customer Pricing'!$B26</f>
        <v>0</v>
      </c>
      <c r="AF26" s="77">
        <f>'Customer Pricing'!$J26</f>
        <v>37699.982388035947</v>
      </c>
      <c r="AG26" s="77">
        <f>'Customer Pricing'!$E26</f>
        <v>12.236575917845254</v>
      </c>
      <c r="AH26">
        <f>'Customer Pricing'!$I26</f>
        <v>2000</v>
      </c>
      <c r="AI26" s="79">
        <f>'Customer Pricing'!$L26</f>
        <v>1</v>
      </c>
      <c r="AJ26" t="str">
        <f>'Customer Pricing'!$O26</f>
        <v>February</v>
      </c>
      <c r="AK26" t="str">
        <f>'Customer Pricing'!$P26</f>
        <v>Semi-Annual</v>
      </c>
      <c r="AL26" cm="1">
        <f t="array" ref="AL26">IF(AJ26="",0, MATCH(LOWER(AJ26), LOWER($AA$1:$AA$12), 0))</f>
        <v>2</v>
      </c>
      <c r="AM26">
        <f t="shared" si="4"/>
        <v>6</v>
      </c>
      <c r="AN26" t="b">
        <f t="shared" si="5"/>
        <v>0</v>
      </c>
      <c r="AO26">
        <f t="shared" si="6"/>
        <v>2</v>
      </c>
      <c r="AP26">
        <f t="shared" si="7"/>
        <v>0</v>
      </c>
      <c r="AQ26">
        <f t="shared" si="7"/>
        <v>1</v>
      </c>
      <c r="AR26">
        <f t="shared" si="7"/>
        <v>0</v>
      </c>
      <c r="AS26">
        <f t="shared" si="7"/>
        <v>0</v>
      </c>
      <c r="AT26">
        <f t="shared" si="7"/>
        <v>0</v>
      </c>
      <c r="AU26">
        <f t="shared" si="7"/>
        <v>0</v>
      </c>
      <c r="AV26">
        <f t="shared" si="7"/>
        <v>0</v>
      </c>
      <c r="AW26">
        <f t="shared" si="7"/>
        <v>1</v>
      </c>
      <c r="AX26">
        <f t="shared" si="7"/>
        <v>0</v>
      </c>
      <c r="AY26">
        <f t="shared" si="7"/>
        <v>0</v>
      </c>
      <c r="AZ26">
        <f t="shared" si="7"/>
        <v>0</v>
      </c>
      <c r="BA26">
        <f t="shared" si="7"/>
        <v>0</v>
      </c>
      <c r="BB26">
        <f t="shared" si="8"/>
        <v>0</v>
      </c>
      <c r="BC26">
        <f t="shared" si="9"/>
        <v>0</v>
      </c>
      <c r="BD26">
        <f t="shared" si="10"/>
        <v>0</v>
      </c>
      <c r="BE26">
        <f t="shared" si="11"/>
        <v>0</v>
      </c>
      <c r="BF26">
        <f t="shared" si="12"/>
        <v>0</v>
      </c>
      <c r="BG26">
        <f t="shared" si="13"/>
        <v>0</v>
      </c>
      <c r="BH26">
        <f t="shared" si="14"/>
        <v>0</v>
      </c>
      <c r="BI26">
        <f t="shared" si="15"/>
        <v>0</v>
      </c>
      <c r="BJ26">
        <f t="shared" si="16"/>
        <v>0</v>
      </c>
      <c r="BK26">
        <f t="shared" si="17"/>
        <v>0</v>
      </c>
      <c r="BL26">
        <f t="shared" si="18"/>
        <v>0</v>
      </c>
      <c r="BM26">
        <f t="shared" si="19"/>
        <v>0</v>
      </c>
      <c r="BN26">
        <f t="shared" si="20"/>
        <v>0</v>
      </c>
      <c r="BO26">
        <f t="shared" si="21"/>
        <v>0</v>
      </c>
      <c r="BP26">
        <f t="shared" si="22"/>
        <v>0</v>
      </c>
      <c r="BQ26">
        <f t="shared" si="23"/>
        <v>0</v>
      </c>
      <c r="BR26">
        <f t="shared" si="24"/>
        <v>0</v>
      </c>
      <c r="BS26">
        <f t="shared" si="25"/>
        <v>0</v>
      </c>
      <c r="BT26">
        <f t="shared" si="26"/>
        <v>0</v>
      </c>
      <c r="BU26">
        <f t="shared" si="27"/>
        <v>0</v>
      </c>
      <c r="BV26">
        <f t="shared" si="28"/>
        <v>0</v>
      </c>
      <c r="BW26">
        <f t="shared" si="29"/>
        <v>0</v>
      </c>
      <c r="BX26">
        <f t="shared" si="30"/>
        <v>0</v>
      </c>
      <c r="BY26">
        <f t="shared" si="31"/>
        <v>0</v>
      </c>
    </row>
    <row r="27" spans="31:77" x14ac:dyDescent="0.25">
      <c r="AE27" s="79">
        <f>'Customer Pricing'!$B27</f>
        <v>0.9</v>
      </c>
      <c r="AF27" s="77">
        <f>'Customer Pricing'!$J27</f>
        <v>2080.0302417659027</v>
      </c>
      <c r="AG27" s="77">
        <f>'Customer Pricing'!$E27</f>
        <v>2.661294917037857</v>
      </c>
      <c r="AH27">
        <f>'Customer Pricing'!$I27</f>
        <v>520</v>
      </c>
      <c r="AI27" s="79">
        <f>'Customer Pricing'!$L27</f>
        <v>1</v>
      </c>
      <c r="AJ27" t="str">
        <f>'Customer Pricing'!$O27</f>
        <v>February</v>
      </c>
      <c r="AK27" t="str">
        <f>'Customer Pricing'!$P27</f>
        <v>Every 6 Weeks</v>
      </c>
      <c r="AL27" cm="1">
        <f t="array" ref="AL27">IF(AJ27="",0, MATCH(LOWER(AJ27), LOWER($AA$1:$AA$12), 0))</f>
        <v>2</v>
      </c>
      <c r="AM27">
        <f t="shared" si="4"/>
        <v>0</v>
      </c>
      <c r="AN27" t="b">
        <f t="shared" si="5"/>
        <v>1</v>
      </c>
      <c r="AO27">
        <f t="shared" si="6"/>
        <v>8</v>
      </c>
      <c r="AP27">
        <f t="shared" si="7"/>
        <v>0</v>
      </c>
      <c r="AQ27">
        <f t="shared" si="7"/>
        <v>1</v>
      </c>
      <c r="AR27">
        <f t="shared" si="7"/>
        <v>1</v>
      </c>
      <c r="AS27">
        <f t="shared" si="7"/>
        <v>0</v>
      </c>
      <c r="AT27">
        <f t="shared" si="7"/>
        <v>1</v>
      </c>
      <c r="AU27">
        <f t="shared" si="7"/>
        <v>1</v>
      </c>
      <c r="AV27">
        <f t="shared" si="7"/>
        <v>0</v>
      </c>
      <c r="AW27">
        <f t="shared" si="7"/>
        <v>1</v>
      </c>
      <c r="AX27">
        <f t="shared" si="7"/>
        <v>1</v>
      </c>
      <c r="AY27">
        <f t="shared" si="7"/>
        <v>0</v>
      </c>
      <c r="AZ27">
        <f t="shared" si="7"/>
        <v>1</v>
      </c>
      <c r="BA27">
        <f t="shared" si="7"/>
        <v>1</v>
      </c>
      <c r="BB27">
        <f t="shared" si="8"/>
        <v>0</v>
      </c>
      <c r="BC27">
        <f t="shared" si="9"/>
        <v>260.00378022073784</v>
      </c>
      <c r="BD27">
        <f t="shared" si="10"/>
        <v>260.00378022073784</v>
      </c>
      <c r="BE27">
        <f t="shared" si="11"/>
        <v>0</v>
      </c>
      <c r="BF27">
        <f t="shared" si="12"/>
        <v>260.00378022073784</v>
      </c>
      <c r="BG27">
        <f t="shared" si="13"/>
        <v>260.00378022073784</v>
      </c>
      <c r="BH27">
        <f t="shared" si="14"/>
        <v>0</v>
      </c>
      <c r="BI27">
        <f t="shared" si="15"/>
        <v>260.00378022073784</v>
      </c>
      <c r="BJ27">
        <f t="shared" si="16"/>
        <v>260.00378022073784</v>
      </c>
      <c r="BK27">
        <f t="shared" si="17"/>
        <v>0</v>
      </c>
      <c r="BL27">
        <f t="shared" si="18"/>
        <v>260.00378022073784</v>
      </c>
      <c r="BM27">
        <f t="shared" si="19"/>
        <v>260.00378022073784</v>
      </c>
      <c r="BN27">
        <f t="shared" si="20"/>
        <v>0</v>
      </c>
      <c r="BO27">
        <f t="shared" si="21"/>
        <v>172.9841696074607</v>
      </c>
      <c r="BP27">
        <f t="shared" si="22"/>
        <v>172.9841696074607</v>
      </c>
      <c r="BQ27">
        <f t="shared" si="23"/>
        <v>0</v>
      </c>
      <c r="BR27">
        <f t="shared" si="24"/>
        <v>172.9841696074607</v>
      </c>
      <c r="BS27">
        <f t="shared" si="25"/>
        <v>172.9841696074607</v>
      </c>
      <c r="BT27">
        <f t="shared" si="26"/>
        <v>0</v>
      </c>
      <c r="BU27">
        <f t="shared" si="27"/>
        <v>172.9841696074607</v>
      </c>
      <c r="BV27">
        <f t="shared" si="28"/>
        <v>172.9841696074607</v>
      </c>
      <c r="BW27">
        <f t="shared" si="29"/>
        <v>0</v>
      </c>
      <c r="BX27">
        <f t="shared" si="30"/>
        <v>172.9841696074607</v>
      </c>
      <c r="BY27">
        <f t="shared" si="31"/>
        <v>172.9841696074607</v>
      </c>
    </row>
    <row r="28" spans="31:77" x14ac:dyDescent="0.25">
      <c r="AE28" s="79">
        <f>'Customer Pricing'!$B28</f>
        <v>0.9</v>
      </c>
      <c r="AF28" s="77">
        <f>'Customer Pricing'!$J28</f>
        <v>13446.153862091722</v>
      </c>
      <c r="AG28" s="77">
        <f>'Customer Pricing'!$E28</f>
        <v>3.0140087634150103</v>
      </c>
      <c r="AH28">
        <f>'Customer Pricing'!$I28</f>
        <v>2700</v>
      </c>
      <c r="AI28" s="79">
        <f>'Customer Pricing'!$L28</f>
        <v>1</v>
      </c>
      <c r="AJ28" t="str">
        <f>'Customer Pricing'!$O28</f>
        <v>February</v>
      </c>
      <c r="AK28" t="str">
        <f>'Customer Pricing'!$P28</f>
        <v>Every 6 Weeks</v>
      </c>
      <c r="AL28" cm="1">
        <f t="array" ref="AL28">IF(AJ28="",0, MATCH(LOWER(AJ28), LOWER($AA$1:$AA$12), 0))</f>
        <v>2</v>
      </c>
      <c r="AM28">
        <f t="shared" si="4"/>
        <v>0</v>
      </c>
      <c r="AN28" t="b">
        <f t="shared" si="5"/>
        <v>1</v>
      </c>
      <c r="AO28">
        <f t="shared" si="6"/>
        <v>8</v>
      </c>
      <c r="AP28">
        <f t="shared" si="7"/>
        <v>0</v>
      </c>
      <c r="AQ28">
        <f t="shared" si="7"/>
        <v>1</v>
      </c>
      <c r="AR28">
        <f t="shared" si="7"/>
        <v>1</v>
      </c>
      <c r="AS28">
        <f t="shared" si="7"/>
        <v>0</v>
      </c>
      <c r="AT28">
        <f t="shared" si="7"/>
        <v>1</v>
      </c>
      <c r="AU28">
        <f t="shared" si="7"/>
        <v>1</v>
      </c>
      <c r="AV28">
        <f t="shared" si="7"/>
        <v>0</v>
      </c>
      <c r="AW28">
        <f t="shared" si="7"/>
        <v>1</v>
      </c>
      <c r="AX28">
        <f t="shared" si="7"/>
        <v>1</v>
      </c>
      <c r="AY28">
        <f t="shared" si="7"/>
        <v>0</v>
      </c>
      <c r="AZ28">
        <f t="shared" si="7"/>
        <v>1</v>
      </c>
      <c r="BA28">
        <f t="shared" si="7"/>
        <v>1</v>
      </c>
      <c r="BB28">
        <f t="shared" si="8"/>
        <v>0</v>
      </c>
      <c r="BC28">
        <f t="shared" si="9"/>
        <v>1680.7692327614652</v>
      </c>
      <c r="BD28">
        <f t="shared" si="10"/>
        <v>1680.7692327614652</v>
      </c>
      <c r="BE28">
        <f t="shared" si="11"/>
        <v>0</v>
      </c>
      <c r="BF28">
        <f t="shared" si="12"/>
        <v>1680.7692327614652</v>
      </c>
      <c r="BG28">
        <f t="shared" si="13"/>
        <v>1680.7692327614652</v>
      </c>
      <c r="BH28">
        <f t="shared" si="14"/>
        <v>0</v>
      </c>
      <c r="BI28">
        <f t="shared" si="15"/>
        <v>1680.7692327614652</v>
      </c>
      <c r="BJ28">
        <f t="shared" si="16"/>
        <v>1680.7692327614652</v>
      </c>
      <c r="BK28">
        <f t="shared" si="17"/>
        <v>0</v>
      </c>
      <c r="BL28">
        <f t="shared" si="18"/>
        <v>1680.7692327614652</v>
      </c>
      <c r="BM28">
        <f t="shared" si="19"/>
        <v>1680.7692327614652</v>
      </c>
      <c r="BN28">
        <f t="shared" si="20"/>
        <v>0</v>
      </c>
      <c r="BO28">
        <f t="shared" si="21"/>
        <v>1017.227957652566</v>
      </c>
      <c r="BP28">
        <f t="shared" si="22"/>
        <v>1017.227957652566</v>
      </c>
      <c r="BQ28">
        <f t="shared" si="23"/>
        <v>0</v>
      </c>
      <c r="BR28">
        <f t="shared" si="24"/>
        <v>1017.227957652566</v>
      </c>
      <c r="BS28">
        <f t="shared" si="25"/>
        <v>1017.227957652566</v>
      </c>
      <c r="BT28">
        <f t="shared" si="26"/>
        <v>0</v>
      </c>
      <c r="BU28">
        <f t="shared" si="27"/>
        <v>1017.227957652566</v>
      </c>
      <c r="BV28">
        <f t="shared" si="28"/>
        <v>1017.227957652566</v>
      </c>
      <c r="BW28">
        <f t="shared" si="29"/>
        <v>0</v>
      </c>
      <c r="BX28">
        <f t="shared" si="30"/>
        <v>1017.227957652566</v>
      </c>
      <c r="BY28">
        <f t="shared" si="31"/>
        <v>1017.227957652566</v>
      </c>
    </row>
    <row r="29" spans="31:77" x14ac:dyDescent="0.25">
      <c r="AE29" s="79">
        <f>'Customer Pricing'!$B29</f>
        <v>0.6</v>
      </c>
      <c r="AF29" s="77">
        <f>'Customer Pricing'!$J29</f>
        <v>159193.35984081842</v>
      </c>
      <c r="AG29" s="77">
        <f>'Customer Pricing'!$E29</f>
        <v>10.947691665683882</v>
      </c>
      <c r="AH29">
        <f>'Customer Pricing'!$I29</f>
        <v>8000</v>
      </c>
      <c r="AI29" s="79">
        <f>'Customer Pricing'!$L29</f>
        <v>1</v>
      </c>
      <c r="AJ29" t="str">
        <f>'Customer Pricing'!$O29</f>
        <v>January</v>
      </c>
      <c r="AK29" t="str">
        <f>'Customer Pricing'!$P29</f>
        <v>Every 6 Weeks</v>
      </c>
      <c r="AL29" cm="1">
        <f t="array" ref="AL29">IF(AJ29="",0, MATCH(LOWER(AJ29), LOWER($AA$1:$AA$12), 0))</f>
        <v>1</v>
      </c>
      <c r="AM29">
        <f t="shared" si="4"/>
        <v>0</v>
      </c>
      <c r="AN29" t="b">
        <f t="shared" si="5"/>
        <v>1</v>
      </c>
      <c r="AO29">
        <f t="shared" si="6"/>
        <v>8</v>
      </c>
      <c r="AP29">
        <f t="shared" si="7"/>
        <v>1</v>
      </c>
      <c r="AQ29">
        <f t="shared" si="7"/>
        <v>1</v>
      </c>
      <c r="AR29">
        <f t="shared" si="7"/>
        <v>0</v>
      </c>
      <c r="AS29">
        <f t="shared" si="7"/>
        <v>1</v>
      </c>
      <c r="AT29">
        <f t="shared" si="7"/>
        <v>1</v>
      </c>
      <c r="AU29">
        <f t="shared" si="7"/>
        <v>0</v>
      </c>
      <c r="AV29">
        <f t="shared" si="7"/>
        <v>1</v>
      </c>
      <c r="AW29">
        <f t="shared" si="7"/>
        <v>1</v>
      </c>
      <c r="AX29">
        <f t="shared" si="7"/>
        <v>0</v>
      </c>
      <c r="AY29">
        <f t="shared" si="7"/>
        <v>1</v>
      </c>
      <c r="AZ29">
        <f t="shared" si="7"/>
        <v>1</v>
      </c>
      <c r="BA29">
        <f t="shared" si="7"/>
        <v>0</v>
      </c>
      <c r="BB29">
        <f t="shared" si="8"/>
        <v>0</v>
      </c>
      <c r="BC29">
        <f t="shared" si="9"/>
        <v>0</v>
      </c>
      <c r="BD29">
        <f t="shared" si="10"/>
        <v>0</v>
      </c>
      <c r="BE29">
        <f t="shared" si="11"/>
        <v>0</v>
      </c>
      <c r="BF29">
        <f t="shared" si="12"/>
        <v>0</v>
      </c>
      <c r="BG29">
        <f t="shared" si="13"/>
        <v>0</v>
      </c>
      <c r="BH29">
        <f t="shared" si="14"/>
        <v>0</v>
      </c>
      <c r="BI29">
        <f t="shared" si="15"/>
        <v>0</v>
      </c>
      <c r="BJ29">
        <f t="shared" si="16"/>
        <v>0</v>
      </c>
      <c r="BK29">
        <f t="shared" si="17"/>
        <v>0</v>
      </c>
      <c r="BL29">
        <f t="shared" si="18"/>
        <v>0</v>
      </c>
      <c r="BM29">
        <f t="shared" si="19"/>
        <v>0</v>
      </c>
      <c r="BN29">
        <f t="shared" si="20"/>
        <v>0</v>
      </c>
      <c r="BO29">
        <f t="shared" si="21"/>
        <v>0</v>
      </c>
      <c r="BP29">
        <f t="shared" si="22"/>
        <v>0</v>
      </c>
      <c r="BQ29">
        <f t="shared" si="23"/>
        <v>0</v>
      </c>
      <c r="BR29">
        <f t="shared" si="24"/>
        <v>0</v>
      </c>
      <c r="BS29">
        <f t="shared" si="25"/>
        <v>0</v>
      </c>
      <c r="BT29">
        <f t="shared" si="26"/>
        <v>0</v>
      </c>
      <c r="BU29">
        <f t="shared" si="27"/>
        <v>0</v>
      </c>
      <c r="BV29">
        <f t="shared" si="28"/>
        <v>0</v>
      </c>
      <c r="BW29">
        <f t="shared" si="29"/>
        <v>0</v>
      </c>
      <c r="BX29">
        <f t="shared" si="30"/>
        <v>0</v>
      </c>
      <c r="BY29">
        <f t="shared" si="31"/>
        <v>0</v>
      </c>
    </row>
    <row r="30" spans="31:77" x14ac:dyDescent="0.25">
      <c r="AE30" s="79">
        <f>'Customer Pricing'!$B30</f>
        <v>0.5</v>
      </c>
      <c r="AF30" s="77">
        <f>'Customer Pricing'!$J30</f>
        <v>13003.532762879771</v>
      </c>
      <c r="AG30" s="77">
        <f>'Customer Pricing'!$E30</f>
        <v>3.4219823060209924</v>
      </c>
      <c r="AH30">
        <f>'Customer Pricing'!$I30</f>
        <v>1900</v>
      </c>
      <c r="AI30" s="79">
        <f>'Customer Pricing'!$L30</f>
        <v>1</v>
      </c>
      <c r="AJ30" t="str">
        <f>'Customer Pricing'!$O30</f>
        <v>January</v>
      </c>
      <c r="AK30" t="str">
        <f>'Customer Pricing'!$P30</f>
        <v>Every 6 Weeks</v>
      </c>
      <c r="AL30" cm="1">
        <f t="array" ref="AL30">IF(AJ30="",0, MATCH(LOWER(AJ30), LOWER($AA$1:$AA$12), 0))</f>
        <v>1</v>
      </c>
      <c r="AM30">
        <f t="shared" si="4"/>
        <v>0</v>
      </c>
      <c r="AN30" t="b">
        <f t="shared" si="5"/>
        <v>1</v>
      </c>
      <c r="AO30">
        <f t="shared" si="6"/>
        <v>8</v>
      </c>
      <c r="AP30">
        <f t="shared" si="7"/>
        <v>1</v>
      </c>
      <c r="AQ30">
        <f t="shared" si="7"/>
        <v>1</v>
      </c>
      <c r="AR30">
        <f t="shared" si="7"/>
        <v>0</v>
      </c>
      <c r="AS30">
        <f t="shared" si="7"/>
        <v>1</v>
      </c>
      <c r="AT30">
        <f t="shared" si="7"/>
        <v>1</v>
      </c>
      <c r="AU30">
        <f t="shared" si="7"/>
        <v>0</v>
      </c>
      <c r="AV30">
        <f t="shared" si="7"/>
        <v>1</v>
      </c>
      <c r="AW30">
        <f t="shared" si="7"/>
        <v>1</v>
      </c>
      <c r="AX30">
        <f t="shared" si="7"/>
        <v>0</v>
      </c>
      <c r="AY30">
        <f t="shared" si="7"/>
        <v>1</v>
      </c>
      <c r="AZ30">
        <f t="shared" si="7"/>
        <v>1</v>
      </c>
      <c r="BA30">
        <f t="shared" si="7"/>
        <v>0</v>
      </c>
      <c r="BB30">
        <f t="shared" si="8"/>
        <v>0</v>
      </c>
      <c r="BC30">
        <f t="shared" si="9"/>
        <v>0</v>
      </c>
      <c r="BD30">
        <f t="shared" si="10"/>
        <v>0</v>
      </c>
      <c r="BE30">
        <f t="shared" si="11"/>
        <v>0</v>
      </c>
      <c r="BF30">
        <f t="shared" si="12"/>
        <v>0</v>
      </c>
      <c r="BG30">
        <f t="shared" si="13"/>
        <v>0</v>
      </c>
      <c r="BH30">
        <f t="shared" si="14"/>
        <v>0</v>
      </c>
      <c r="BI30">
        <f t="shared" si="15"/>
        <v>0</v>
      </c>
      <c r="BJ30">
        <f t="shared" si="16"/>
        <v>0</v>
      </c>
      <c r="BK30">
        <f t="shared" si="17"/>
        <v>0</v>
      </c>
      <c r="BL30">
        <f t="shared" si="18"/>
        <v>0</v>
      </c>
      <c r="BM30">
        <f t="shared" si="19"/>
        <v>0</v>
      </c>
      <c r="BN30">
        <f t="shared" si="20"/>
        <v>0</v>
      </c>
      <c r="BO30">
        <f t="shared" si="21"/>
        <v>0</v>
      </c>
      <c r="BP30">
        <f t="shared" si="22"/>
        <v>0</v>
      </c>
      <c r="BQ30">
        <f t="shared" si="23"/>
        <v>0</v>
      </c>
      <c r="BR30">
        <f t="shared" si="24"/>
        <v>0</v>
      </c>
      <c r="BS30">
        <f t="shared" si="25"/>
        <v>0</v>
      </c>
      <c r="BT30">
        <f t="shared" si="26"/>
        <v>0</v>
      </c>
      <c r="BU30">
        <f t="shared" si="27"/>
        <v>0</v>
      </c>
      <c r="BV30">
        <f t="shared" si="28"/>
        <v>0</v>
      </c>
      <c r="BW30">
        <f t="shared" si="29"/>
        <v>0</v>
      </c>
      <c r="BX30">
        <f t="shared" si="30"/>
        <v>0</v>
      </c>
      <c r="BY30">
        <f t="shared" si="31"/>
        <v>0</v>
      </c>
    </row>
    <row r="31" spans="31:77" x14ac:dyDescent="0.25">
      <c r="AE31" s="79">
        <f>'Customer Pricing'!$B31</f>
        <v>0.5</v>
      </c>
      <c r="AF31" s="77">
        <f>'Customer Pricing'!$J31</f>
        <v>38628.493350901612</v>
      </c>
      <c r="AG31" s="77">
        <f>'Customer Pricing'!$E31</f>
        <v>5.983456828841252</v>
      </c>
      <c r="AH31">
        <f>'Customer Pricing'!$I31</f>
        <v>4390</v>
      </c>
      <c r="AI31" s="79">
        <f>'Customer Pricing'!$L31</f>
        <v>1</v>
      </c>
      <c r="AJ31" t="str">
        <f>'Customer Pricing'!$O31</f>
        <v>January</v>
      </c>
      <c r="AK31" t="str">
        <f>'Customer Pricing'!$P31</f>
        <v>Every 6 Weeks</v>
      </c>
      <c r="AL31" cm="1">
        <f t="array" ref="AL31">IF(AJ31="",0, MATCH(LOWER(AJ31), LOWER($AA$1:$AA$12), 0))</f>
        <v>1</v>
      </c>
      <c r="AM31">
        <f t="shared" si="4"/>
        <v>0</v>
      </c>
      <c r="AN31" t="b">
        <f t="shared" si="5"/>
        <v>1</v>
      </c>
      <c r="AO31">
        <f t="shared" si="6"/>
        <v>8</v>
      </c>
      <c r="AP31">
        <f t="shared" si="7"/>
        <v>1</v>
      </c>
      <c r="AQ31">
        <f t="shared" si="7"/>
        <v>1</v>
      </c>
      <c r="AR31">
        <f t="shared" si="7"/>
        <v>0</v>
      </c>
      <c r="AS31">
        <f t="shared" si="7"/>
        <v>1</v>
      </c>
      <c r="AT31">
        <f t="shared" si="7"/>
        <v>1</v>
      </c>
      <c r="AU31">
        <f t="shared" si="7"/>
        <v>0</v>
      </c>
      <c r="AV31">
        <f t="shared" si="7"/>
        <v>1</v>
      </c>
      <c r="AW31">
        <f t="shared" si="7"/>
        <v>1</v>
      </c>
      <c r="AX31">
        <f t="shared" si="7"/>
        <v>0</v>
      </c>
      <c r="AY31">
        <f t="shared" si="7"/>
        <v>1</v>
      </c>
      <c r="AZ31">
        <f t="shared" si="7"/>
        <v>1</v>
      </c>
      <c r="BA31">
        <f t="shared" si="7"/>
        <v>0</v>
      </c>
      <c r="BB31">
        <f t="shared" si="8"/>
        <v>0</v>
      </c>
      <c r="BC31">
        <f t="shared" si="9"/>
        <v>0</v>
      </c>
      <c r="BD31">
        <f t="shared" si="10"/>
        <v>0</v>
      </c>
      <c r="BE31">
        <f t="shared" si="11"/>
        <v>0</v>
      </c>
      <c r="BF31">
        <f t="shared" si="12"/>
        <v>0</v>
      </c>
      <c r="BG31">
        <f t="shared" si="13"/>
        <v>0</v>
      </c>
      <c r="BH31">
        <f t="shared" si="14"/>
        <v>0</v>
      </c>
      <c r="BI31">
        <f t="shared" si="15"/>
        <v>0</v>
      </c>
      <c r="BJ31">
        <f t="shared" si="16"/>
        <v>0</v>
      </c>
      <c r="BK31">
        <f t="shared" si="17"/>
        <v>0</v>
      </c>
      <c r="BL31">
        <f t="shared" si="18"/>
        <v>0</v>
      </c>
      <c r="BM31">
        <f t="shared" si="19"/>
        <v>0</v>
      </c>
      <c r="BN31">
        <f t="shared" si="20"/>
        <v>0</v>
      </c>
      <c r="BO31">
        <f t="shared" si="21"/>
        <v>0</v>
      </c>
      <c r="BP31">
        <f t="shared" si="22"/>
        <v>0</v>
      </c>
      <c r="BQ31">
        <f t="shared" si="23"/>
        <v>0</v>
      </c>
      <c r="BR31">
        <f t="shared" si="24"/>
        <v>0</v>
      </c>
      <c r="BS31">
        <f t="shared" si="25"/>
        <v>0</v>
      </c>
      <c r="BT31">
        <f t="shared" si="26"/>
        <v>0</v>
      </c>
      <c r="BU31">
        <f t="shared" si="27"/>
        <v>0</v>
      </c>
      <c r="BV31">
        <f t="shared" si="28"/>
        <v>0</v>
      </c>
      <c r="BW31">
        <f t="shared" si="29"/>
        <v>0</v>
      </c>
      <c r="BX31">
        <f t="shared" si="30"/>
        <v>0</v>
      </c>
      <c r="BY31">
        <f t="shared" si="31"/>
        <v>0</v>
      </c>
    </row>
    <row r="32" spans="31:77" x14ac:dyDescent="0.25">
      <c r="AE32" s="79">
        <f>'Customer Pricing'!$B32</f>
        <v>0.5</v>
      </c>
      <c r="AF32" s="77">
        <f>'Customer Pricing'!$J32</f>
        <v>47252.72641738064</v>
      </c>
      <c r="AG32" s="77">
        <f>'Customer Pricing'!$E32</f>
        <v>15.034958405530205</v>
      </c>
      <c r="AH32">
        <f>'Customer Pricing'!$I32</f>
        <v>2200</v>
      </c>
      <c r="AI32" s="79">
        <f>'Customer Pricing'!$L32</f>
        <v>1</v>
      </c>
      <c r="AJ32" t="str">
        <f>'Customer Pricing'!$O32</f>
        <v>January</v>
      </c>
      <c r="AK32" t="str">
        <f>'Customer Pricing'!$P32</f>
        <v>Every 6 Weeks</v>
      </c>
      <c r="AL32" cm="1">
        <f t="array" ref="AL32">IF(AJ32="",0, MATCH(LOWER(AJ32), LOWER($AA$1:$AA$12), 0))</f>
        <v>1</v>
      </c>
      <c r="AM32">
        <f t="shared" si="4"/>
        <v>0</v>
      </c>
      <c r="AN32" t="b">
        <f t="shared" si="5"/>
        <v>1</v>
      </c>
      <c r="AO32">
        <f t="shared" si="6"/>
        <v>8</v>
      </c>
      <c r="AP32">
        <f t="shared" si="7"/>
        <v>1</v>
      </c>
      <c r="AQ32">
        <f t="shared" si="7"/>
        <v>1</v>
      </c>
      <c r="AR32">
        <f t="shared" si="7"/>
        <v>0</v>
      </c>
      <c r="AS32">
        <f t="shared" si="7"/>
        <v>1</v>
      </c>
      <c r="AT32">
        <f t="shared" si="7"/>
        <v>1</v>
      </c>
      <c r="AU32">
        <f t="shared" si="7"/>
        <v>0</v>
      </c>
      <c r="AV32">
        <f t="shared" si="7"/>
        <v>1</v>
      </c>
      <c r="AW32">
        <f t="shared" si="7"/>
        <v>1</v>
      </c>
      <c r="AX32">
        <f t="shared" si="7"/>
        <v>0</v>
      </c>
      <c r="AY32">
        <f t="shared" si="7"/>
        <v>1</v>
      </c>
      <c r="AZ32">
        <f t="shared" si="7"/>
        <v>1</v>
      </c>
      <c r="BA32">
        <f t="shared" si="7"/>
        <v>0</v>
      </c>
      <c r="BB32">
        <f t="shared" si="8"/>
        <v>0</v>
      </c>
      <c r="BC32">
        <f t="shared" si="9"/>
        <v>0</v>
      </c>
      <c r="BD32">
        <f t="shared" si="10"/>
        <v>0</v>
      </c>
      <c r="BE32">
        <f t="shared" si="11"/>
        <v>0</v>
      </c>
      <c r="BF32">
        <f t="shared" si="12"/>
        <v>0</v>
      </c>
      <c r="BG32">
        <f t="shared" si="13"/>
        <v>0</v>
      </c>
      <c r="BH32">
        <f t="shared" si="14"/>
        <v>0</v>
      </c>
      <c r="BI32">
        <f t="shared" si="15"/>
        <v>0</v>
      </c>
      <c r="BJ32">
        <f t="shared" si="16"/>
        <v>0</v>
      </c>
      <c r="BK32">
        <f t="shared" si="17"/>
        <v>0</v>
      </c>
      <c r="BL32">
        <f t="shared" si="18"/>
        <v>0</v>
      </c>
      <c r="BM32">
        <f t="shared" si="19"/>
        <v>0</v>
      </c>
      <c r="BN32">
        <f t="shared" si="20"/>
        <v>0</v>
      </c>
      <c r="BO32">
        <f t="shared" si="21"/>
        <v>0</v>
      </c>
      <c r="BP32">
        <f t="shared" si="22"/>
        <v>0</v>
      </c>
      <c r="BQ32">
        <f t="shared" si="23"/>
        <v>0</v>
      </c>
      <c r="BR32">
        <f t="shared" si="24"/>
        <v>0</v>
      </c>
      <c r="BS32">
        <f t="shared" si="25"/>
        <v>0</v>
      </c>
      <c r="BT32">
        <f t="shared" si="26"/>
        <v>0</v>
      </c>
      <c r="BU32">
        <f t="shared" si="27"/>
        <v>0</v>
      </c>
      <c r="BV32">
        <f t="shared" si="28"/>
        <v>0</v>
      </c>
      <c r="BW32">
        <f t="shared" si="29"/>
        <v>0</v>
      </c>
      <c r="BX32">
        <f t="shared" si="30"/>
        <v>0</v>
      </c>
      <c r="BY32">
        <f t="shared" si="31"/>
        <v>0</v>
      </c>
    </row>
    <row r="33" spans="31:77" x14ac:dyDescent="0.25">
      <c r="AE33" s="79">
        <f>'Customer Pricing'!$B33</f>
        <v>0.5</v>
      </c>
      <c r="AF33" s="77">
        <f>'Customer Pricing'!$J33</f>
        <v>77629.086356667525</v>
      </c>
      <c r="AG33" s="77">
        <f>'Customer Pricing'!$E33</f>
        <v>10.947691665683882</v>
      </c>
      <c r="AH33">
        <f>'Customer Pricing'!$I33</f>
        <v>3900</v>
      </c>
      <c r="AI33" s="79">
        <f>'Customer Pricing'!$L33</f>
        <v>1</v>
      </c>
      <c r="AJ33" t="str">
        <f>'Customer Pricing'!$O33</f>
        <v>January</v>
      </c>
      <c r="AK33" t="str">
        <f>'Customer Pricing'!$P33</f>
        <v>Every 6 Weeks</v>
      </c>
      <c r="AL33" cm="1">
        <f t="array" ref="AL33">IF(AJ33="",0, MATCH(LOWER(AJ33), LOWER($AA$1:$AA$12), 0))</f>
        <v>1</v>
      </c>
      <c r="AM33">
        <f t="shared" si="4"/>
        <v>0</v>
      </c>
      <c r="AN33" t="b">
        <f t="shared" si="5"/>
        <v>1</v>
      </c>
      <c r="AO33">
        <f t="shared" si="6"/>
        <v>8</v>
      </c>
      <c r="AP33">
        <f t="shared" si="7"/>
        <v>1</v>
      </c>
      <c r="AQ33">
        <f t="shared" si="7"/>
        <v>1</v>
      </c>
      <c r="AR33">
        <f t="shared" si="7"/>
        <v>0</v>
      </c>
      <c r="AS33">
        <f t="shared" si="7"/>
        <v>1</v>
      </c>
      <c r="AT33">
        <f t="shared" si="7"/>
        <v>1</v>
      </c>
      <c r="AU33">
        <f t="shared" si="7"/>
        <v>0</v>
      </c>
      <c r="AV33">
        <f t="shared" si="7"/>
        <v>1</v>
      </c>
      <c r="AW33">
        <f t="shared" si="7"/>
        <v>1</v>
      </c>
      <c r="AX33">
        <f t="shared" si="7"/>
        <v>0</v>
      </c>
      <c r="AY33">
        <f t="shared" si="7"/>
        <v>1</v>
      </c>
      <c r="AZ33">
        <f t="shared" si="7"/>
        <v>1</v>
      </c>
      <c r="BA33">
        <f t="shared" si="7"/>
        <v>0</v>
      </c>
      <c r="BB33">
        <f t="shared" si="8"/>
        <v>0</v>
      </c>
      <c r="BC33">
        <f t="shared" si="9"/>
        <v>0</v>
      </c>
      <c r="BD33">
        <f t="shared" si="10"/>
        <v>0</v>
      </c>
      <c r="BE33">
        <f t="shared" si="11"/>
        <v>0</v>
      </c>
      <c r="BF33">
        <f t="shared" si="12"/>
        <v>0</v>
      </c>
      <c r="BG33">
        <f t="shared" si="13"/>
        <v>0</v>
      </c>
      <c r="BH33">
        <f t="shared" si="14"/>
        <v>0</v>
      </c>
      <c r="BI33">
        <f t="shared" si="15"/>
        <v>0</v>
      </c>
      <c r="BJ33">
        <f t="shared" si="16"/>
        <v>0</v>
      </c>
      <c r="BK33">
        <f t="shared" si="17"/>
        <v>0</v>
      </c>
      <c r="BL33">
        <f t="shared" si="18"/>
        <v>0</v>
      </c>
      <c r="BM33">
        <f t="shared" si="19"/>
        <v>0</v>
      </c>
      <c r="BN33">
        <f t="shared" si="20"/>
        <v>0</v>
      </c>
      <c r="BO33">
        <f t="shared" si="21"/>
        <v>0</v>
      </c>
      <c r="BP33">
        <f t="shared" si="22"/>
        <v>0</v>
      </c>
      <c r="BQ33">
        <f t="shared" si="23"/>
        <v>0</v>
      </c>
      <c r="BR33">
        <f t="shared" si="24"/>
        <v>0</v>
      </c>
      <c r="BS33">
        <f t="shared" si="25"/>
        <v>0</v>
      </c>
      <c r="BT33">
        <f t="shared" si="26"/>
        <v>0</v>
      </c>
      <c r="BU33">
        <f t="shared" si="27"/>
        <v>0</v>
      </c>
      <c r="BV33">
        <f t="shared" si="28"/>
        <v>0</v>
      </c>
      <c r="BW33">
        <f t="shared" si="29"/>
        <v>0</v>
      </c>
      <c r="BX33">
        <f t="shared" si="30"/>
        <v>0</v>
      </c>
      <c r="BY33">
        <f t="shared" si="31"/>
        <v>0</v>
      </c>
    </row>
    <row r="34" spans="31:77" x14ac:dyDescent="0.25">
      <c r="AE34" s="79">
        <f>'Customer Pricing'!$B34</f>
        <v>0.5</v>
      </c>
      <c r="AF34" s="77">
        <f>'Customer Pricing'!$J34</f>
        <v>97252.020756411526</v>
      </c>
      <c r="AG34" s="77">
        <f>'Customer Pricing'!$E34</f>
        <v>17.111792508459505</v>
      </c>
      <c r="AH34">
        <f>'Customer Pricing'!$I34</f>
        <v>3410</v>
      </c>
      <c r="AI34" s="79">
        <f>'Customer Pricing'!$L34</f>
        <v>1</v>
      </c>
      <c r="AJ34" t="str">
        <f>'Customer Pricing'!$O34</f>
        <v>January</v>
      </c>
      <c r="AK34" t="str">
        <f>'Customer Pricing'!$P34</f>
        <v>Every 6 Weeks</v>
      </c>
      <c r="AL34" cm="1">
        <f t="array" ref="AL34">IF(AJ34="",0, MATCH(LOWER(AJ34), LOWER($AA$1:$AA$12), 0))</f>
        <v>1</v>
      </c>
      <c r="AM34">
        <f t="shared" si="4"/>
        <v>0</v>
      </c>
      <c r="AN34" t="b">
        <f t="shared" si="5"/>
        <v>1</v>
      </c>
      <c r="AO34">
        <f t="shared" si="6"/>
        <v>8</v>
      </c>
      <c r="AP34">
        <f t="shared" si="7"/>
        <v>1</v>
      </c>
      <c r="AQ34">
        <f t="shared" si="7"/>
        <v>1</v>
      </c>
      <c r="AR34">
        <f t="shared" si="7"/>
        <v>0</v>
      </c>
      <c r="AS34">
        <f t="shared" si="7"/>
        <v>1</v>
      </c>
      <c r="AT34">
        <f t="shared" si="7"/>
        <v>1</v>
      </c>
      <c r="AU34">
        <f t="shared" si="7"/>
        <v>0</v>
      </c>
      <c r="AV34">
        <f t="shared" si="7"/>
        <v>1</v>
      </c>
      <c r="AW34">
        <f t="shared" si="7"/>
        <v>1</v>
      </c>
      <c r="AX34">
        <f t="shared" si="7"/>
        <v>0</v>
      </c>
      <c r="AY34">
        <f t="shared" si="7"/>
        <v>1</v>
      </c>
      <c r="AZ34">
        <f t="shared" si="7"/>
        <v>1</v>
      </c>
      <c r="BA34">
        <f t="shared" si="7"/>
        <v>0</v>
      </c>
      <c r="BB34">
        <f t="shared" si="8"/>
        <v>0</v>
      </c>
      <c r="BC34">
        <f t="shared" si="9"/>
        <v>0</v>
      </c>
      <c r="BD34">
        <f t="shared" si="10"/>
        <v>0</v>
      </c>
      <c r="BE34">
        <f t="shared" si="11"/>
        <v>0</v>
      </c>
      <c r="BF34">
        <f t="shared" si="12"/>
        <v>0</v>
      </c>
      <c r="BG34">
        <f t="shared" si="13"/>
        <v>0</v>
      </c>
      <c r="BH34">
        <f t="shared" si="14"/>
        <v>0</v>
      </c>
      <c r="BI34">
        <f t="shared" si="15"/>
        <v>0</v>
      </c>
      <c r="BJ34">
        <f t="shared" si="16"/>
        <v>0</v>
      </c>
      <c r="BK34">
        <f t="shared" si="17"/>
        <v>0</v>
      </c>
      <c r="BL34">
        <f t="shared" si="18"/>
        <v>0</v>
      </c>
      <c r="BM34">
        <f t="shared" si="19"/>
        <v>0</v>
      </c>
      <c r="BN34">
        <f t="shared" si="20"/>
        <v>0</v>
      </c>
      <c r="BO34">
        <f t="shared" si="21"/>
        <v>0</v>
      </c>
      <c r="BP34">
        <f t="shared" si="22"/>
        <v>0</v>
      </c>
      <c r="BQ34">
        <f t="shared" si="23"/>
        <v>0</v>
      </c>
      <c r="BR34">
        <f t="shared" si="24"/>
        <v>0</v>
      </c>
      <c r="BS34">
        <f t="shared" si="25"/>
        <v>0</v>
      </c>
      <c r="BT34">
        <f t="shared" si="26"/>
        <v>0</v>
      </c>
      <c r="BU34">
        <f t="shared" si="27"/>
        <v>0</v>
      </c>
      <c r="BV34">
        <f t="shared" si="28"/>
        <v>0</v>
      </c>
      <c r="BW34">
        <f t="shared" si="29"/>
        <v>0</v>
      </c>
      <c r="BX34">
        <f t="shared" si="30"/>
        <v>0</v>
      </c>
      <c r="BY34">
        <f t="shared" si="31"/>
        <v>0</v>
      </c>
    </row>
    <row r="35" spans="31:77" x14ac:dyDescent="0.25">
      <c r="AE35" s="79">
        <f>'Customer Pricing'!$B35</f>
        <v>0.8</v>
      </c>
      <c r="AF35" s="77">
        <f>'Customer Pricing'!$J35</f>
        <v>118629.89834233145</v>
      </c>
      <c r="AG35" s="77">
        <f>'Customer Pricing'!$E35</f>
        <v>7.60970080739538</v>
      </c>
      <c r="AH35">
        <f>'Customer Pricing'!$I35</f>
        <v>10780</v>
      </c>
      <c r="AI35" s="79">
        <f>'Customer Pricing'!$L35</f>
        <v>1</v>
      </c>
      <c r="AJ35" t="str">
        <f>'Customer Pricing'!$O35</f>
        <v>January</v>
      </c>
      <c r="AK35" t="str">
        <f>'Customer Pricing'!$P35</f>
        <v>Every 6 Weeks</v>
      </c>
      <c r="AL35" cm="1">
        <f t="array" ref="AL35">IF(AJ35="",0, MATCH(LOWER(AJ35), LOWER($AA$1:$AA$12), 0))</f>
        <v>1</v>
      </c>
      <c r="AM35">
        <f t="shared" si="4"/>
        <v>0</v>
      </c>
      <c r="AN35" t="b">
        <f t="shared" si="5"/>
        <v>1</v>
      </c>
      <c r="AO35">
        <f t="shared" si="6"/>
        <v>8</v>
      </c>
      <c r="AP35">
        <f t="shared" si="7"/>
        <v>1</v>
      </c>
      <c r="AQ35">
        <f t="shared" si="7"/>
        <v>1</v>
      </c>
      <c r="AR35">
        <f t="shared" si="7"/>
        <v>0</v>
      </c>
      <c r="AS35">
        <f t="shared" si="7"/>
        <v>1</v>
      </c>
      <c r="AT35">
        <f t="shared" si="7"/>
        <v>1</v>
      </c>
      <c r="AU35">
        <f t="shared" si="7"/>
        <v>0</v>
      </c>
      <c r="AV35">
        <f t="shared" si="7"/>
        <v>1</v>
      </c>
      <c r="AW35">
        <f t="shared" si="7"/>
        <v>1</v>
      </c>
      <c r="AX35">
        <f t="shared" si="7"/>
        <v>0</v>
      </c>
      <c r="AY35">
        <f t="shared" si="7"/>
        <v>1</v>
      </c>
      <c r="AZ35">
        <f t="shared" si="7"/>
        <v>1</v>
      </c>
      <c r="BA35">
        <f t="shared" si="7"/>
        <v>0</v>
      </c>
      <c r="BB35">
        <f t="shared" si="8"/>
        <v>0</v>
      </c>
      <c r="BC35">
        <f t="shared" si="9"/>
        <v>0</v>
      </c>
      <c r="BD35">
        <f t="shared" si="10"/>
        <v>0</v>
      </c>
      <c r="BE35">
        <f t="shared" si="11"/>
        <v>0</v>
      </c>
      <c r="BF35">
        <f t="shared" si="12"/>
        <v>0</v>
      </c>
      <c r="BG35">
        <f t="shared" si="13"/>
        <v>0</v>
      </c>
      <c r="BH35">
        <f t="shared" si="14"/>
        <v>0</v>
      </c>
      <c r="BI35">
        <f t="shared" si="15"/>
        <v>0</v>
      </c>
      <c r="BJ35">
        <f t="shared" si="16"/>
        <v>0</v>
      </c>
      <c r="BK35">
        <f t="shared" si="17"/>
        <v>0</v>
      </c>
      <c r="BL35">
        <f t="shared" si="18"/>
        <v>0</v>
      </c>
      <c r="BM35">
        <f t="shared" si="19"/>
        <v>0</v>
      </c>
      <c r="BN35">
        <f t="shared" si="20"/>
        <v>0</v>
      </c>
      <c r="BO35">
        <f t="shared" si="21"/>
        <v>0</v>
      </c>
      <c r="BP35">
        <f t="shared" si="22"/>
        <v>0</v>
      </c>
      <c r="BQ35">
        <f t="shared" si="23"/>
        <v>0</v>
      </c>
      <c r="BR35">
        <f t="shared" si="24"/>
        <v>0</v>
      </c>
      <c r="BS35">
        <f t="shared" si="25"/>
        <v>0</v>
      </c>
      <c r="BT35">
        <f t="shared" si="26"/>
        <v>0</v>
      </c>
      <c r="BU35">
        <f t="shared" si="27"/>
        <v>0</v>
      </c>
      <c r="BV35">
        <f t="shared" si="28"/>
        <v>0</v>
      </c>
      <c r="BW35">
        <f t="shared" si="29"/>
        <v>0</v>
      </c>
      <c r="BX35">
        <f t="shared" si="30"/>
        <v>0</v>
      </c>
      <c r="BY35">
        <f t="shared" si="31"/>
        <v>0</v>
      </c>
    </row>
    <row r="36" spans="31:77" x14ac:dyDescent="0.25">
      <c r="AE36" s="79">
        <f>'Customer Pricing'!$B36</f>
        <v>0.6</v>
      </c>
      <c r="AF36" s="77">
        <f>'Customer Pricing'!$J36</f>
        <v>199581.89628043742</v>
      </c>
      <c r="AG36" s="77">
        <f>'Customer Pricing'!$E36</f>
        <v>21.905330079560201</v>
      </c>
      <c r="AH36">
        <f>'Customer Pricing'!$I36</f>
        <v>4100</v>
      </c>
      <c r="AI36" s="79">
        <f>'Customer Pricing'!$L36</f>
        <v>1</v>
      </c>
      <c r="AJ36" t="str">
        <f>'Customer Pricing'!$O36</f>
        <v>February</v>
      </c>
      <c r="AK36" t="str">
        <f>'Customer Pricing'!$P36</f>
        <v>Every Month</v>
      </c>
      <c r="AL36" cm="1">
        <f t="array" ref="AL36">IF(AJ36="",0, MATCH(LOWER(AJ36), LOWER($AA$1:$AA$12), 0))</f>
        <v>2</v>
      </c>
      <c r="AM36">
        <f t="shared" si="4"/>
        <v>1</v>
      </c>
      <c r="AN36" t="b">
        <f t="shared" si="5"/>
        <v>0</v>
      </c>
      <c r="AO36">
        <f t="shared" si="6"/>
        <v>11</v>
      </c>
      <c r="AP36">
        <f t="shared" si="7"/>
        <v>0</v>
      </c>
      <c r="AQ36">
        <f t="shared" si="7"/>
        <v>1</v>
      </c>
      <c r="AR36">
        <f t="shared" si="7"/>
        <v>1</v>
      </c>
      <c r="AS36">
        <f t="shared" si="7"/>
        <v>1</v>
      </c>
      <c r="AT36">
        <f t="shared" si="7"/>
        <v>1</v>
      </c>
      <c r="AU36">
        <f t="shared" si="7"/>
        <v>1</v>
      </c>
      <c r="AV36">
        <f t="shared" si="7"/>
        <v>1</v>
      </c>
      <c r="AW36">
        <f t="shared" si="7"/>
        <v>1</v>
      </c>
      <c r="AX36">
        <f t="shared" si="7"/>
        <v>1</v>
      </c>
      <c r="AY36">
        <f t="shared" si="7"/>
        <v>1</v>
      </c>
      <c r="AZ36">
        <f t="shared" si="7"/>
        <v>1</v>
      </c>
      <c r="BA36">
        <f t="shared" si="7"/>
        <v>1</v>
      </c>
      <c r="BB36">
        <f t="shared" si="8"/>
        <v>0</v>
      </c>
      <c r="BC36">
        <f t="shared" si="9"/>
        <v>0</v>
      </c>
      <c r="BD36">
        <f t="shared" si="10"/>
        <v>0</v>
      </c>
      <c r="BE36">
        <f t="shared" si="11"/>
        <v>0</v>
      </c>
      <c r="BF36">
        <f t="shared" si="12"/>
        <v>0</v>
      </c>
      <c r="BG36">
        <f t="shared" si="13"/>
        <v>0</v>
      </c>
      <c r="BH36">
        <f t="shared" si="14"/>
        <v>0</v>
      </c>
      <c r="BI36">
        <f t="shared" si="15"/>
        <v>0</v>
      </c>
      <c r="BJ36">
        <f t="shared" si="16"/>
        <v>0</v>
      </c>
      <c r="BK36">
        <f t="shared" si="17"/>
        <v>0</v>
      </c>
      <c r="BL36">
        <f t="shared" si="18"/>
        <v>0</v>
      </c>
      <c r="BM36">
        <f t="shared" si="19"/>
        <v>0</v>
      </c>
      <c r="BN36">
        <f t="shared" si="20"/>
        <v>0</v>
      </c>
      <c r="BO36">
        <f t="shared" si="21"/>
        <v>0</v>
      </c>
      <c r="BP36">
        <f t="shared" si="22"/>
        <v>0</v>
      </c>
      <c r="BQ36">
        <f t="shared" si="23"/>
        <v>0</v>
      </c>
      <c r="BR36">
        <f t="shared" si="24"/>
        <v>0</v>
      </c>
      <c r="BS36">
        <f t="shared" si="25"/>
        <v>0</v>
      </c>
      <c r="BT36">
        <f t="shared" si="26"/>
        <v>0</v>
      </c>
      <c r="BU36">
        <f t="shared" si="27"/>
        <v>0</v>
      </c>
      <c r="BV36">
        <f t="shared" si="28"/>
        <v>0</v>
      </c>
      <c r="BW36">
        <f t="shared" si="29"/>
        <v>0</v>
      </c>
      <c r="BX36">
        <f t="shared" si="30"/>
        <v>0</v>
      </c>
      <c r="BY36">
        <f t="shared" si="31"/>
        <v>0</v>
      </c>
    </row>
    <row r="37" spans="31:77" x14ac:dyDescent="0.25">
      <c r="AE37" s="79">
        <f>'Customer Pricing'!$B37</f>
        <v>0.6</v>
      </c>
      <c r="AF37" s="77">
        <f>'Customer Pricing'!$J37</f>
        <v>1117831.1260638377</v>
      </c>
      <c r="AG37" s="77">
        <f>'Customer Pricing'!$E37</f>
        <v>23.014170242490771</v>
      </c>
      <c r="AH37">
        <f>'Customer Pricing'!$I37</f>
        <v>34000</v>
      </c>
      <c r="AI37" s="79">
        <f>'Customer Pricing'!$L37</f>
        <v>1</v>
      </c>
      <c r="AJ37" t="str">
        <f>'Customer Pricing'!$O37</f>
        <v>February</v>
      </c>
      <c r="AK37" t="str">
        <f>'Customer Pricing'!$P37</f>
        <v>Every 6 Weeks</v>
      </c>
      <c r="AL37" cm="1">
        <f t="array" ref="AL37">IF(AJ37="",0, MATCH(LOWER(AJ37), LOWER($AA$1:$AA$12), 0))</f>
        <v>2</v>
      </c>
      <c r="AM37">
        <f t="shared" si="4"/>
        <v>0</v>
      </c>
      <c r="AN37" t="b">
        <f t="shared" si="5"/>
        <v>1</v>
      </c>
      <c r="AO37">
        <f t="shared" si="6"/>
        <v>8</v>
      </c>
      <c r="AP37">
        <f t="shared" si="7"/>
        <v>0</v>
      </c>
      <c r="AQ37">
        <f t="shared" si="7"/>
        <v>1</v>
      </c>
      <c r="AR37">
        <f t="shared" si="7"/>
        <v>1</v>
      </c>
      <c r="AS37">
        <f t="shared" si="7"/>
        <v>0</v>
      </c>
      <c r="AT37">
        <f t="shared" si="7"/>
        <v>1</v>
      </c>
      <c r="AU37">
        <f t="shared" si="7"/>
        <v>1</v>
      </c>
      <c r="AV37">
        <f t="shared" si="7"/>
        <v>0</v>
      </c>
      <c r="AW37">
        <f t="shared" si="7"/>
        <v>1</v>
      </c>
      <c r="AX37">
        <f t="shared" si="7"/>
        <v>1</v>
      </c>
      <c r="AY37">
        <f t="shared" si="7"/>
        <v>0</v>
      </c>
      <c r="AZ37">
        <f t="shared" si="7"/>
        <v>1</v>
      </c>
      <c r="BA37">
        <f t="shared" si="7"/>
        <v>1</v>
      </c>
      <c r="BB37">
        <f t="shared" si="8"/>
        <v>0</v>
      </c>
      <c r="BC37">
        <f t="shared" si="9"/>
        <v>0</v>
      </c>
      <c r="BD37">
        <f t="shared" si="10"/>
        <v>0</v>
      </c>
      <c r="BE37">
        <f t="shared" si="11"/>
        <v>0</v>
      </c>
      <c r="BF37">
        <f t="shared" si="12"/>
        <v>0</v>
      </c>
      <c r="BG37">
        <f t="shared" si="13"/>
        <v>0</v>
      </c>
      <c r="BH37">
        <f t="shared" si="14"/>
        <v>0</v>
      </c>
      <c r="BI37">
        <f t="shared" si="15"/>
        <v>0</v>
      </c>
      <c r="BJ37">
        <f t="shared" si="16"/>
        <v>0</v>
      </c>
      <c r="BK37">
        <f t="shared" si="17"/>
        <v>0</v>
      </c>
      <c r="BL37">
        <f t="shared" si="18"/>
        <v>0</v>
      </c>
      <c r="BM37">
        <f t="shared" si="19"/>
        <v>0</v>
      </c>
      <c r="BN37">
        <f t="shared" si="20"/>
        <v>0</v>
      </c>
      <c r="BO37">
        <f t="shared" si="21"/>
        <v>0</v>
      </c>
      <c r="BP37">
        <f t="shared" si="22"/>
        <v>0</v>
      </c>
      <c r="BQ37">
        <f t="shared" si="23"/>
        <v>0</v>
      </c>
      <c r="BR37">
        <f t="shared" si="24"/>
        <v>0</v>
      </c>
      <c r="BS37">
        <f t="shared" si="25"/>
        <v>0</v>
      </c>
      <c r="BT37">
        <f t="shared" si="26"/>
        <v>0</v>
      </c>
      <c r="BU37">
        <f t="shared" si="27"/>
        <v>0</v>
      </c>
      <c r="BV37">
        <f t="shared" si="28"/>
        <v>0</v>
      </c>
      <c r="BW37">
        <f t="shared" si="29"/>
        <v>0</v>
      </c>
      <c r="BX37">
        <f t="shared" si="30"/>
        <v>0</v>
      </c>
      <c r="BY37">
        <f t="shared" si="31"/>
        <v>0</v>
      </c>
    </row>
    <row r="38" spans="31:77" x14ac:dyDescent="0.25">
      <c r="AE38" s="79">
        <f>'Customer Pricing'!$B38</f>
        <v>0.6</v>
      </c>
      <c r="AF38" s="77">
        <f>'Customer Pricing'!$J38</f>
        <v>59768.153544223802</v>
      </c>
      <c r="AG38" s="77">
        <f>'Customer Pricing'!$E38</f>
        <v>20.375506890076295</v>
      </c>
      <c r="AH38">
        <f>'Customer Pricing'!$I38</f>
        <v>2200</v>
      </c>
      <c r="AI38" s="79">
        <f>'Customer Pricing'!$L38</f>
        <v>1</v>
      </c>
      <c r="AJ38" t="str">
        <f>'Customer Pricing'!$O38</f>
        <v>February</v>
      </c>
      <c r="AK38" t="str">
        <f>'Customer Pricing'!$P38</f>
        <v>Every 6 Weeks</v>
      </c>
      <c r="AL38" cm="1">
        <f t="array" ref="AL38">IF(AJ38="",0, MATCH(LOWER(AJ38), LOWER($AA$1:$AA$12), 0))</f>
        <v>2</v>
      </c>
      <c r="AM38">
        <f t="shared" si="4"/>
        <v>0</v>
      </c>
      <c r="AN38" t="b">
        <f t="shared" si="5"/>
        <v>1</v>
      </c>
      <c r="AO38">
        <f t="shared" si="6"/>
        <v>8</v>
      </c>
      <c r="AP38">
        <f t="shared" ref="AP38:BA50" si="37">IF($AN38,
   IF(AND(AP$1&gt;=$AL38, ISNUMBER(MATCH(AP$1-$AL38, $AC$1:$AC$8,0))),1,0),
   IF(AND(AP$1&gt;=$AL38, $AM38&gt;0, MOD(AP$1-$AL38, $AM38)=0),1,0)
)</f>
        <v>0</v>
      </c>
      <c r="AQ38">
        <f t="shared" si="37"/>
        <v>1</v>
      </c>
      <c r="AR38">
        <f t="shared" si="37"/>
        <v>1</v>
      </c>
      <c r="AS38">
        <f t="shared" si="37"/>
        <v>0</v>
      </c>
      <c r="AT38">
        <f t="shared" si="37"/>
        <v>1</v>
      </c>
      <c r="AU38">
        <f t="shared" si="37"/>
        <v>1</v>
      </c>
      <c r="AV38">
        <f t="shared" si="37"/>
        <v>0</v>
      </c>
      <c r="AW38">
        <f t="shared" si="37"/>
        <v>1</v>
      </c>
      <c r="AX38">
        <f t="shared" si="37"/>
        <v>1</v>
      </c>
      <c r="AY38">
        <f t="shared" si="37"/>
        <v>0</v>
      </c>
      <c r="AZ38">
        <f t="shared" si="37"/>
        <v>1</v>
      </c>
      <c r="BA38">
        <f t="shared" si="37"/>
        <v>1</v>
      </c>
      <c r="BB38">
        <f t="shared" si="8"/>
        <v>0</v>
      </c>
      <c r="BC38">
        <f t="shared" si="9"/>
        <v>0</v>
      </c>
      <c r="BD38">
        <f t="shared" si="10"/>
        <v>0</v>
      </c>
      <c r="BE38">
        <f t="shared" si="11"/>
        <v>0</v>
      </c>
      <c r="BF38">
        <f t="shared" si="12"/>
        <v>0</v>
      </c>
      <c r="BG38">
        <f t="shared" si="13"/>
        <v>0</v>
      </c>
      <c r="BH38">
        <f t="shared" si="14"/>
        <v>0</v>
      </c>
      <c r="BI38">
        <f t="shared" si="15"/>
        <v>0</v>
      </c>
      <c r="BJ38">
        <f t="shared" si="16"/>
        <v>0</v>
      </c>
      <c r="BK38">
        <f t="shared" si="17"/>
        <v>0</v>
      </c>
      <c r="BL38">
        <f t="shared" si="18"/>
        <v>0</v>
      </c>
      <c r="BM38">
        <f t="shared" si="19"/>
        <v>0</v>
      </c>
      <c r="BN38">
        <f t="shared" si="20"/>
        <v>0</v>
      </c>
      <c r="BO38">
        <f t="shared" si="21"/>
        <v>0</v>
      </c>
      <c r="BP38">
        <f t="shared" si="22"/>
        <v>0</v>
      </c>
      <c r="BQ38">
        <f t="shared" si="23"/>
        <v>0</v>
      </c>
      <c r="BR38">
        <f t="shared" si="24"/>
        <v>0</v>
      </c>
      <c r="BS38">
        <f t="shared" si="25"/>
        <v>0</v>
      </c>
      <c r="BT38">
        <f t="shared" si="26"/>
        <v>0</v>
      </c>
      <c r="BU38">
        <f t="shared" si="27"/>
        <v>0</v>
      </c>
      <c r="BV38">
        <f t="shared" si="28"/>
        <v>0</v>
      </c>
      <c r="BW38">
        <f t="shared" si="29"/>
        <v>0</v>
      </c>
      <c r="BX38">
        <f t="shared" si="30"/>
        <v>0</v>
      </c>
      <c r="BY38">
        <f t="shared" si="31"/>
        <v>0</v>
      </c>
    </row>
    <row r="39" spans="31:77" x14ac:dyDescent="0.25">
      <c r="AE39" s="79">
        <f>'Customer Pricing'!$B39</f>
        <v>0.6</v>
      </c>
      <c r="AF39" s="77">
        <f>'Customer Pricing'!$J39</f>
        <v>30588.789118608496</v>
      </c>
      <c r="AG39" s="77">
        <f>'Customer Pricing'!$E39</f>
        <v>5.3980216091662054</v>
      </c>
      <c r="AH39">
        <f>'Customer Pricing'!$I39</f>
        <v>3400</v>
      </c>
      <c r="AI39" s="79">
        <f>'Customer Pricing'!$L39</f>
        <v>1</v>
      </c>
      <c r="AJ39" t="str">
        <f>'Customer Pricing'!$O39</f>
        <v>June</v>
      </c>
      <c r="AK39" t="str">
        <f>'Customer Pricing'!$P39</f>
        <v>Every 6 Weeks</v>
      </c>
      <c r="AL39" cm="1">
        <f t="array" ref="AL39">IF(AJ39="",0, MATCH(LOWER(AJ39), LOWER($AA$1:$AA$12), 0))</f>
        <v>6</v>
      </c>
      <c r="AM39">
        <f t="shared" si="4"/>
        <v>0</v>
      </c>
      <c r="AN39" t="b">
        <f t="shared" si="5"/>
        <v>1</v>
      </c>
      <c r="AO39">
        <f t="shared" si="6"/>
        <v>5</v>
      </c>
      <c r="AP39">
        <f t="shared" si="37"/>
        <v>0</v>
      </c>
      <c r="AQ39">
        <f t="shared" si="37"/>
        <v>0</v>
      </c>
      <c r="AR39">
        <f t="shared" si="37"/>
        <v>0</v>
      </c>
      <c r="AS39">
        <f t="shared" si="37"/>
        <v>0</v>
      </c>
      <c r="AT39">
        <f t="shared" si="37"/>
        <v>0</v>
      </c>
      <c r="AU39">
        <f t="shared" si="37"/>
        <v>1</v>
      </c>
      <c r="AV39">
        <f t="shared" si="37"/>
        <v>1</v>
      </c>
      <c r="AW39">
        <f t="shared" si="37"/>
        <v>0</v>
      </c>
      <c r="AX39">
        <f t="shared" si="37"/>
        <v>1</v>
      </c>
      <c r="AY39">
        <f t="shared" si="37"/>
        <v>1</v>
      </c>
      <c r="AZ39">
        <f t="shared" si="37"/>
        <v>0</v>
      </c>
      <c r="BA39">
        <f t="shared" si="37"/>
        <v>1</v>
      </c>
      <c r="BB39">
        <f t="shared" si="8"/>
        <v>0</v>
      </c>
      <c r="BC39">
        <f t="shared" si="9"/>
        <v>0</v>
      </c>
      <c r="BD39">
        <f t="shared" si="10"/>
        <v>0</v>
      </c>
      <c r="BE39">
        <f t="shared" si="11"/>
        <v>0</v>
      </c>
      <c r="BF39">
        <f t="shared" si="12"/>
        <v>0</v>
      </c>
      <c r="BG39">
        <f t="shared" si="13"/>
        <v>0</v>
      </c>
      <c r="BH39">
        <f t="shared" si="14"/>
        <v>0</v>
      </c>
      <c r="BI39">
        <f t="shared" si="15"/>
        <v>0</v>
      </c>
      <c r="BJ39">
        <f t="shared" si="16"/>
        <v>0</v>
      </c>
      <c r="BK39">
        <f t="shared" si="17"/>
        <v>0</v>
      </c>
      <c r="BL39">
        <f t="shared" si="18"/>
        <v>0</v>
      </c>
      <c r="BM39">
        <f t="shared" si="19"/>
        <v>0</v>
      </c>
      <c r="BN39">
        <f t="shared" si="20"/>
        <v>0</v>
      </c>
      <c r="BO39">
        <f t="shared" si="21"/>
        <v>0</v>
      </c>
      <c r="BP39">
        <f t="shared" si="22"/>
        <v>0</v>
      </c>
      <c r="BQ39">
        <f t="shared" si="23"/>
        <v>0</v>
      </c>
      <c r="BR39">
        <f t="shared" si="24"/>
        <v>0</v>
      </c>
      <c r="BS39">
        <f t="shared" si="25"/>
        <v>0</v>
      </c>
      <c r="BT39">
        <f t="shared" si="26"/>
        <v>0</v>
      </c>
      <c r="BU39">
        <f t="shared" si="27"/>
        <v>0</v>
      </c>
      <c r="BV39">
        <f t="shared" si="28"/>
        <v>0</v>
      </c>
      <c r="BW39">
        <f t="shared" si="29"/>
        <v>0</v>
      </c>
      <c r="BX39">
        <f t="shared" si="30"/>
        <v>0</v>
      </c>
      <c r="BY39">
        <f t="shared" si="31"/>
        <v>0</v>
      </c>
    </row>
    <row r="40" spans="31:77" x14ac:dyDescent="0.25">
      <c r="AE40" s="79">
        <f>'Customer Pricing'!$B40</f>
        <v>0.6</v>
      </c>
      <c r="AF40" s="77">
        <f>'Customer Pricing'!$J40</f>
        <v>135700.13478189311</v>
      </c>
      <c r="AG40" s="77">
        <f>'Customer Pricing'!$E40</f>
        <v>4.7495047173662588</v>
      </c>
      <c r="AH40">
        <f>'Customer Pricing'!$I40</f>
        <v>10000</v>
      </c>
      <c r="AI40" s="79">
        <f>'Customer Pricing'!$L40</f>
        <v>1</v>
      </c>
      <c r="AJ40" t="str">
        <f>'Customer Pricing'!$O40</f>
        <v>February</v>
      </c>
      <c r="AK40" t="str">
        <f>'Customer Pricing'!$P40</f>
        <v>Every 6 Weeks</v>
      </c>
      <c r="AL40" cm="1">
        <f t="array" ref="AL40">IF(AJ40="",0, MATCH(LOWER(AJ40), LOWER($AA$1:$AA$12), 0))</f>
        <v>2</v>
      </c>
      <c r="AM40">
        <f t="shared" si="4"/>
        <v>0</v>
      </c>
      <c r="AN40" t="b">
        <f t="shared" si="5"/>
        <v>1</v>
      </c>
      <c r="AO40">
        <f t="shared" si="6"/>
        <v>8</v>
      </c>
      <c r="AP40">
        <f t="shared" si="37"/>
        <v>0</v>
      </c>
      <c r="AQ40">
        <f t="shared" si="37"/>
        <v>1</v>
      </c>
      <c r="AR40">
        <f t="shared" si="37"/>
        <v>1</v>
      </c>
      <c r="AS40">
        <f t="shared" si="37"/>
        <v>0</v>
      </c>
      <c r="AT40">
        <f t="shared" si="37"/>
        <v>1</v>
      </c>
      <c r="AU40">
        <f t="shared" si="37"/>
        <v>1</v>
      </c>
      <c r="AV40">
        <f t="shared" si="37"/>
        <v>0</v>
      </c>
      <c r="AW40">
        <f t="shared" si="37"/>
        <v>1</v>
      </c>
      <c r="AX40">
        <f t="shared" si="37"/>
        <v>1</v>
      </c>
      <c r="AY40">
        <f t="shared" si="37"/>
        <v>0</v>
      </c>
      <c r="AZ40">
        <f t="shared" si="37"/>
        <v>1</v>
      </c>
      <c r="BA40">
        <f t="shared" si="37"/>
        <v>1</v>
      </c>
      <c r="BB40">
        <f t="shared" si="8"/>
        <v>0</v>
      </c>
      <c r="BC40">
        <f t="shared" si="9"/>
        <v>0</v>
      </c>
      <c r="BD40">
        <f t="shared" si="10"/>
        <v>0</v>
      </c>
      <c r="BE40">
        <f t="shared" si="11"/>
        <v>0</v>
      </c>
      <c r="BF40">
        <f t="shared" si="12"/>
        <v>0</v>
      </c>
      <c r="BG40">
        <f t="shared" si="13"/>
        <v>0</v>
      </c>
      <c r="BH40">
        <f t="shared" si="14"/>
        <v>0</v>
      </c>
      <c r="BI40">
        <f t="shared" si="15"/>
        <v>0</v>
      </c>
      <c r="BJ40">
        <f t="shared" si="16"/>
        <v>0</v>
      </c>
      <c r="BK40">
        <f t="shared" si="17"/>
        <v>0</v>
      </c>
      <c r="BL40">
        <f t="shared" si="18"/>
        <v>0</v>
      </c>
      <c r="BM40">
        <f t="shared" si="19"/>
        <v>0</v>
      </c>
      <c r="BN40">
        <f t="shared" si="20"/>
        <v>0</v>
      </c>
      <c r="BO40">
        <f t="shared" si="21"/>
        <v>0</v>
      </c>
      <c r="BP40">
        <f t="shared" si="22"/>
        <v>0</v>
      </c>
      <c r="BQ40">
        <f t="shared" si="23"/>
        <v>0</v>
      </c>
      <c r="BR40">
        <f t="shared" si="24"/>
        <v>0</v>
      </c>
      <c r="BS40">
        <f t="shared" si="25"/>
        <v>0</v>
      </c>
      <c r="BT40">
        <f t="shared" si="26"/>
        <v>0</v>
      </c>
      <c r="BU40">
        <f t="shared" si="27"/>
        <v>0</v>
      </c>
      <c r="BV40">
        <f t="shared" si="28"/>
        <v>0</v>
      </c>
      <c r="BW40">
        <f t="shared" si="29"/>
        <v>0</v>
      </c>
      <c r="BX40">
        <f t="shared" si="30"/>
        <v>0</v>
      </c>
      <c r="BY40">
        <f t="shared" si="31"/>
        <v>0</v>
      </c>
    </row>
    <row r="41" spans="31:77" x14ac:dyDescent="0.25">
      <c r="AE41" s="79">
        <f>'Customer Pricing'!$B41</f>
        <v>1</v>
      </c>
      <c r="AF41" s="77">
        <f>'Customer Pricing'!$J41</f>
        <v>249396.62103856201</v>
      </c>
      <c r="AG41" s="77">
        <f>'Customer Pricing'!$E41</f>
        <v>19.413776523845378</v>
      </c>
      <c r="AH41">
        <f>'Customer Pricing'!$I41</f>
        <v>10000</v>
      </c>
      <c r="AI41" s="79">
        <f>'Customer Pricing'!$L41</f>
        <v>1</v>
      </c>
      <c r="AJ41" t="str">
        <f>'Customer Pricing'!$O41</f>
        <v>January</v>
      </c>
      <c r="AK41" t="str">
        <f>'Customer Pricing'!$P41</f>
        <v>Quarterly</v>
      </c>
      <c r="AL41" cm="1">
        <f t="array" ref="AL41">IF(AJ41="",0, MATCH(LOWER(AJ41), LOWER($AA$1:$AA$12), 0))</f>
        <v>1</v>
      </c>
      <c r="AM41">
        <f t="shared" si="4"/>
        <v>3</v>
      </c>
      <c r="AN41" t="b">
        <f t="shared" si="5"/>
        <v>0</v>
      </c>
      <c r="AO41">
        <f t="shared" si="6"/>
        <v>4</v>
      </c>
      <c r="AP41">
        <f t="shared" si="37"/>
        <v>1</v>
      </c>
      <c r="AQ41">
        <f t="shared" si="37"/>
        <v>0</v>
      </c>
      <c r="AR41">
        <f t="shared" si="37"/>
        <v>0</v>
      </c>
      <c r="AS41">
        <f t="shared" si="37"/>
        <v>1</v>
      </c>
      <c r="AT41">
        <f t="shared" si="37"/>
        <v>0</v>
      </c>
      <c r="AU41">
        <f t="shared" si="37"/>
        <v>0</v>
      </c>
      <c r="AV41">
        <f t="shared" si="37"/>
        <v>1</v>
      </c>
      <c r="AW41">
        <f t="shared" si="37"/>
        <v>0</v>
      </c>
      <c r="AX41">
        <f t="shared" si="37"/>
        <v>0</v>
      </c>
      <c r="AY41">
        <f t="shared" si="37"/>
        <v>1</v>
      </c>
      <c r="AZ41">
        <f t="shared" si="37"/>
        <v>0</v>
      </c>
      <c r="BA41">
        <f t="shared" si="37"/>
        <v>0</v>
      </c>
      <c r="BB41">
        <f t="shared" si="8"/>
        <v>62349.155259640502</v>
      </c>
      <c r="BC41">
        <f t="shared" si="9"/>
        <v>0</v>
      </c>
      <c r="BD41">
        <f t="shared" si="10"/>
        <v>0</v>
      </c>
      <c r="BE41">
        <f t="shared" si="11"/>
        <v>62349.155259640502</v>
      </c>
      <c r="BF41">
        <f t="shared" si="12"/>
        <v>0</v>
      </c>
      <c r="BG41">
        <f t="shared" si="13"/>
        <v>0</v>
      </c>
      <c r="BH41">
        <f t="shared" si="14"/>
        <v>62349.155259640502</v>
      </c>
      <c r="BI41">
        <f t="shared" si="15"/>
        <v>0</v>
      </c>
      <c r="BJ41">
        <f t="shared" si="16"/>
        <v>0</v>
      </c>
      <c r="BK41">
        <f t="shared" si="17"/>
        <v>62349.155259640502</v>
      </c>
      <c r="BL41">
        <f t="shared" si="18"/>
        <v>0</v>
      </c>
      <c r="BM41">
        <f t="shared" si="19"/>
        <v>0</v>
      </c>
      <c r="BN41">
        <f t="shared" si="20"/>
        <v>48534.441309613445</v>
      </c>
      <c r="BO41">
        <f t="shared" si="21"/>
        <v>0</v>
      </c>
      <c r="BP41">
        <f t="shared" si="22"/>
        <v>0</v>
      </c>
      <c r="BQ41">
        <f t="shared" si="23"/>
        <v>48534.441309613445</v>
      </c>
      <c r="BR41">
        <f t="shared" si="24"/>
        <v>0</v>
      </c>
      <c r="BS41">
        <f t="shared" si="25"/>
        <v>0</v>
      </c>
      <c r="BT41">
        <f t="shared" si="26"/>
        <v>48534.441309613445</v>
      </c>
      <c r="BU41">
        <f t="shared" si="27"/>
        <v>0</v>
      </c>
      <c r="BV41">
        <f t="shared" si="28"/>
        <v>0</v>
      </c>
      <c r="BW41">
        <f t="shared" si="29"/>
        <v>48534.441309613445</v>
      </c>
      <c r="BX41">
        <f t="shared" si="30"/>
        <v>0</v>
      </c>
      <c r="BY41">
        <f t="shared" si="31"/>
        <v>0</v>
      </c>
    </row>
    <row r="42" spans="31:77" x14ac:dyDescent="0.25">
      <c r="AE42" s="79">
        <f>'Customer Pricing'!$B42</f>
        <v>0.5</v>
      </c>
      <c r="AF42" s="77">
        <f>'Customer Pricing'!$J42</f>
        <v>2569.6038319528993</v>
      </c>
      <c r="AG42" s="77">
        <f>'Customer Pricing'!$E42</f>
        <v>4.6720069671870901</v>
      </c>
      <c r="AH42">
        <f>'Customer Pricing'!$I42</f>
        <v>220</v>
      </c>
      <c r="AI42" s="79">
        <f>'Customer Pricing'!$L42</f>
        <v>0</v>
      </c>
      <c r="AJ42">
        <f>'Customer Pricing'!$O42</f>
        <v>0</v>
      </c>
      <c r="AK42">
        <f>'Customer Pricing'!$P42</f>
        <v>0</v>
      </c>
      <c r="AL42" t="e" cm="1">
        <f t="array" ref="AL42">IF(AJ42="",0, MATCH(LOWER(AJ42), LOWER($AA$1:$AA$12), 0))</f>
        <v>#N/A</v>
      </c>
      <c r="AM42">
        <f t="shared" si="4"/>
        <v>1</v>
      </c>
      <c r="AN42" t="b">
        <f t="shared" si="5"/>
        <v>0</v>
      </c>
      <c r="AO42" t="e">
        <f t="shared" si="6"/>
        <v>#N/A</v>
      </c>
      <c r="AP42" t="e">
        <f t="shared" si="37"/>
        <v>#N/A</v>
      </c>
      <c r="AQ42" t="e">
        <f t="shared" si="37"/>
        <v>#N/A</v>
      </c>
      <c r="AR42" t="e">
        <f t="shared" si="37"/>
        <v>#N/A</v>
      </c>
      <c r="AS42" t="e">
        <f t="shared" si="37"/>
        <v>#N/A</v>
      </c>
      <c r="AT42" t="e">
        <f t="shared" si="37"/>
        <v>#N/A</v>
      </c>
      <c r="AU42" t="e">
        <f t="shared" si="37"/>
        <v>#N/A</v>
      </c>
      <c r="AV42" t="e">
        <f t="shared" si="37"/>
        <v>#N/A</v>
      </c>
      <c r="AW42" t="e">
        <f t="shared" si="37"/>
        <v>#N/A</v>
      </c>
      <c r="AX42" t="e">
        <f t="shared" si="37"/>
        <v>#N/A</v>
      </c>
      <c r="AY42" t="e">
        <f t="shared" si="37"/>
        <v>#N/A</v>
      </c>
      <c r="AZ42" t="e">
        <f t="shared" si="37"/>
        <v>#N/A</v>
      </c>
      <c r="BA42" t="e">
        <f t="shared" si="37"/>
        <v>#N/A</v>
      </c>
      <c r="BB42">
        <f t="shared" si="8"/>
        <v>0</v>
      </c>
      <c r="BC42">
        <f t="shared" si="9"/>
        <v>0</v>
      </c>
      <c r="BD42">
        <f t="shared" si="10"/>
        <v>0</v>
      </c>
      <c r="BE42">
        <f t="shared" si="11"/>
        <v>0</v>
      </c>
      <c r="BF42">
        <f t="shared" si="12"/>
        <v>0</v>
      </c>
      <c r="BG42">
        <f t="shared" si="13"/>
        <v>0</v>
      </c>
      <c r="BH42">
        <f t="shared" si="14"/>
        <v>0</v>
      </c>
      <c r="BI42">
        <f t="shared" si="15"/>
        <v>0</v>
      </c>
      <c r="BJ42">
        <f t="shared" si="16"/>
        <v>0</v>
      </c>
      <c r="BK42">
        <f t="shared" si="17"/>
        <v>0</v>
      </c>
      <c r="BL42">
        <f t="shared" si="18"/>
        <v>0</v>
      </c>
      <c r="BM42">
        <f t="shared" si="19"/>
        <v>0</v>
      </c>
      <c r="BN42">
        <f t="shared" si="20"/>
        <v>0</v>
      </c>
      <c r="BO42">
        <f t="shared" si="21"/>
        <v>0</v>
      </c>
      <c r="BP42">
        <f t="shared" si="22"/>
        <v>0</v>
      </c>
      <c r="BQ42">
        <f t="shared" si="23"/>
        <v>0</v>
      </c>
      <c r="BR42">
        <f t="shared" si="24"/>
        <v>0</v>
      </c>
      <c r="BS42">
        <f t="shared" si="25"/>
        <v>0</v>
      </c>
      <c r="BT42">
        <f t="shared" si="26"/>
        <v>0</v>
      </c>
      <c r="BU42">
        <f t="shared" si="27"/>
        <v>0</v>
      </c>
      <c r="BV42">
        <f t="shared" si="28"/>
        <v>0</v>
      </c>
      <c r="BW42">
        <f t="shared" si="29"/>
        <v>0</v>
      </c>
      <c r="BX42">
        <f t="shared" si="30"/>
        <v>0</v>
      </c>
      <c r="BY42">
        <f t="shared" si="31"/>
        <v>0</v>
      </c>
    </row>
    <row r="43" spans="31:77" x14ac:dyDescent="0.25">
      <c r="AE43" s="79">
        <f>'Customer Pricing'!$B43</f>
        <v>0.5</v>
      </c>
      <c r="AF43" s="77">
        <f>'Customer Pricing'!$J43</f>
        <v>9146.4218102212617</v>
      </c>
      <c r="AG43" s="77">
        <f>'Customer Pricing'!$E43</f>
        <v>8.1301527201966781</v>
      </c>
      <c r="AH43">
        <f>'Customer Pricing'!$I43</f>
        <v>450</v>
      </c>
      <c r="AI43" s="79">
        <f>'Customer Pricing'!$L43</f>
        <v>0</v>
      </c>
      <c r="AJ43">
        <f>'Customer Pricing'!$O43</f>
        <v>0</v>
      </c>
      <c r="AK43">
        <f>'Customer Pricing'!$P43</f>
        <v>0</v>
      </c>
      <c r="AL43" t="e" cm="1">
        <f t="array" ref="AL43">IF(AJ43="",0, MATCH(LOWER(AJ43), LOWER($AA$1:$AA$12), 0))</f>
        <v>#N/A</v>
      </c>
      <c r="AM43">
        <f t="shared" si="4"/>
        <v>1</v>
      </c>
      <c r="AN43" t="b">
        <f t="shared" si="5"/>
        <v>0</v>
      </c>
      <c r="AO43" t="e">
        <f t="shared" si="6"/>
        <v>#N/A</v>
      </c>
      <c r="AP43" t="e">
        <f t="shared" si="37"/>
        <v>#N/A</v>
      </c>
      <c r="AQ43" t="e">
        <f t="shared" si="37"/>
        <v>#N/A</v>
      </c>
      <c r="AR43" t="e">
        <f t="shared" si="37"/>
        <v>#N/A</v>
      </c>
      <c r="AS43" t="e">
        <f t="shared" si="37"/>
        <v>#N/A</v>
      </c>
      <c r="AT43" t="e">
        <f t="shared" si="37"/>
        <v>#N/A</v>
      </c>
      <c r="AU43" t="e">
        <f t="shared" si="37"/>
        <v>#N/A</v>
      </c>
      <c r="AV43" t="e">
        <f t="shared" si="37"/>
        <v>#N/A</v>
      </c>
      <c r="AW43" t="e">
        <f t="shared" si="37"/>
        <v>#N/A</v>
      </c>
      <c r="AX43" t="e">
        <f t="shared" si="37"/>
        <v>#N/A</v>
      </c>
      <c r="AY43" t="e">
        <f t="shared" si="37"/>
        <v>#N/A</v>
      </c>
      <c r="AZ43" t="e">
        <f t="shared" si="37"/>
        <v>#N/A</v>
      </c>
      <c r="BA43" t="e">
        <f t="shared" si="37"/>
        <v>#N/A</v>
      </c>
      <c r="BB43">
        <f t="shared" si="8"/>
        <v>0</v>
      </c>
      <c r="BC43">
        <f t="shared" si="9"/>
        <v>0</v>
      </c>
      <c r="BD43">
        <f t="shared" si="10"/>
        <v>0</v>
      </c>
      <c r="BE43">
        <f t="shared" si="11"/>
        <v>0</v>
      </c>
      <c r="BF43">
        <f t="shared" si="12"/>
        <v>0</v>
      </c>
      <c r="BG43">
        <f t="shared" si="13"/>
        <v>0</v>
      </c>
      <c r="BH43">
        <f t="shared" si="14"/>
        <v>0</v>
      </c>
      <c r="BI43">
        <f t="shared" si="15"/>
        <v>0</v>
      </c>
      <c r="BJ43">
        <f t="shared" si="16"/>
        <v>0</v>
      </c>
      <c r="BK43">
        <f t="shared" si="17"/>
        <v>0</v>
      </c>
      <c r="BL43">
        <f t="shared" si="18"/>
        <v>0</v>
      </c>
      <c r="BM43">
        <f t="shared" si="19"/>
        <v>0</v>
      </c>
      <c r="BN43">
        <f t="shared" si="20"/>
        <v>0</v>
      </c>
      <c r="BO43">
        <f t="shared" si="21"/>
        <v>0</v>
      </c>
      <c r="BP43">
        <f t="shared" si="22"/>
        <v>0</v>
      </c>
      <c r="BQ43">
        <f t="shared" si="23"/>
        <v>0</v>
      </c>
      <c r="BR43">
        <f t="shared" si="24"/>
        <v>0</v>
      </c>
      <c r="BS43">
        <f t="shared" si="25"/>
        <v>0</v>
      </c>
      <c r="BT43">
        <f t="shared" si="26"/>
        <v>0</v>
      </c>
      <c r="BU43">
        <f t="shared" si="27"/>
        <v>0</v>
      </c>
      <c r="BV43">
        <f t="shared" si="28"/>
        <v>0</v>
      </c>
      <c r="BW43">
        <f t="shared" si="29"/>
        <v>0</v>
      </c>
      <c r="BX43">
        <f t="shared" si="30"/>
        <v>0</v>
      </c>
      <c r="BY43">
        <f t="shared" si="31"/>
        <v>0</v>
      </c>
    </row>
    <row r="44" spans="31:77" x14ac:dyDescent="0.25">
      <c r="AE44" s="79">
        <f>'Customer Pricing'!$B44</f>
        <v>0.5</v>
      </c>
      <c r="AF44" s="77">
        <f>'Customer Pricing'!$J44</f>
        <v>0</v>
      </c>
      <c r="AG44" s="77">
        <f>'Customer Pricing'!$E44</f>
        <v>68.57486462066025</v>
      </c>
      <c r="AH44">
        <f>'Customer Pricing'!$I44</f>
        <v>0</v>
      </c>
      <c r="AI44" s="79">
        <f>'Customer Pricing'!$L44</f>
        <v>0</v>
      </c>
      <c r="AJ44">
        <f>'Customer Pricing'!$O44</f>
        <v>0</v>
      </c>
      <c r="AK44">
        <f>'Customer Pricing'!$P44</f>
        <v>0</v>
      </c>
      <c r="AL44" t="e" cm="1">
        <f t="array" ref="AL44">IF(AJ44="",0, MATCH(LOWER(AJ44), LOWER($AA$1:$AA$12), 0))</f>
        <v>#N/A</v>
      </c>
      <c r="AM44">
        <f t="shared" si="4"/>
        <v>1</v>
      </c>
      <c r="AN44" t="b">
        <f t="shared" si="5"/>
        <v>0</v>
      </c>
      <c r="AO44" t="e">
        <f t="shared" si="6"/>
        <v>#N/A</v>
      </c>
      <c r="AP44" t="e">
        <f t="shared" si="37"/>
        <v>#N/A</v>
      </c>
      <c r="AQ44" t="e">
        <f t="shared" si="37"/>
        <v>#N/A</v>
      </c>
      <c r="AR44" t="e">
        <f t="shared" si="37"/>
        <v>#N/A</v>
      </c>
      <c r="AS44" t="e">
        <f t="shared" si="37"/>
        <v>#N/A</v>
      </c>
      <c r="AT44" t="e">
        <f t="shared" si="37"/>
        <v>#N/A</v>
      </c>
      <c r="AU44" t="e">
        <f t="shared" si="37"/>
        <v>#N/A</v>
      </c>
      <c r="AV44" t="e">
        <f t="shared" si="37"/>
        <v>#N/A</v>
      </c>
      <c r="AW44" t="e">
        <f t="shared" si="37"/>
        <v>#N/A</v>
      </c>
      <c r="AX44" t="e">
        <f t="shared" si="37"/>
        <v>#N/A</v>
      </c>
      <c r="AY44" t="e">
        <f t="shared" si="37"/>
        <v>#N/A</v>
      </c>
      <c r="AZ44" t="e">
        <f t="shared" si="37"/>
        <v>#N/A</v>
      </c>
      <c r="BA44" t="e">
        <f t="shared" si="37"/>
        <v>#N/A</v>
      </c>
      <c r="BB44">
        <f t="shared" si="8"/>
        <v>0</v>
      </c>
      <c r="BC44">
        <f t="shared" si="9"/>
        <v>0</v>
      </c>
      <c r="BD44">
        <f t="shared" si="10"/>
        <v>0</v>
      </c>
      <c r="BE44">
        <f t="shared" si="11"/>
        <v>0</v>
      </c>
      <c r="BF44">
        <f t="shared" si="12"/>
        <v>0</v>
      </c>
      <c r="BG44">
        <f t="shared" si="13"/>
        <v>0</v>
      </c>
      <c r="BH44">
        <f t="shared" si="14"/>
        <v>0</v>
      </c>
      <c r="BI44">
        <f t="shared" si="15"/>
        <v>0</v>
      </c>
      <c r="BJ44">
        <f t="shared" si="16"/>
        <v>0</v>
      </c>
      <c r="BK44">
        <f t="shared" si="17"/>
        <v>0</v>
      </c>
      <c r="BL44">
        <f t="shared" si="18"/>
        <v>0</v>
      </c>
      <c r="BM44">
        <f t="shared" si="19"/>
        <v>0</v>
      </c>
      <c r="BN44">
        <f t="shared" si="20"/>
        <v>0</v>
      </c>
      <c r="BO44">
        <f t="shared" si="21"/>
        <v>0</v>
      </c>
      <c r="BP44">
        <f t="shared" si="22"/>
        <v>0</v>
      </c>
      <c r="BQ44">
        <f t="shared" si="23"/>
        <v>0</v>
      </c>
      <c r="BR44">
        <f t="shared" si="24"/>
        <v>0</v>
      </c>
      <c r="BS44">
        <f t="shared" si="25"/>
        <v>0</v>
      </c>
      <c r="BT44">
        <f t="shared" si="26"/>
        <v>0</v>
      </c>
      <c r="BU44">
        <f t="shared" si="27"/>
        <v>0</v>
      </c>
      <c r="BV44">
        <f t="shared" si="28"/>
        <v>0</v>
      </c>
      <c r="BW44">
        <f t="shared" si="29"/>
        <v>0</v>
      </c>
      <c r="BX44">
        <f t="shared" si="30"/>
        <v>0</v>
      </c>
      <c r="BY44">
        <f t="shared" si="31"/>
        <v>0</v>
      </c>
    </row>
    <row r="45" spans="31:77" x14ac:dyDescent="0.25">
      <c r="AE45" s="79">
        <f>'Customer Pricing'!$B45</f>
        <v>0.2</v>
      </c>
      <c r="AF45" s="77">
        <f>'Customer Pricing'!$J45</f>
        <v>0</v>
      </c>
      <c r="AG45" s="77">
        <f>'Customer Pricing'!$E45</f>
        <v>15.034958405530205</v>
      </c>
      <c r="AH45">
        <f>'Customer Pricing'!$I45</f>
        <v>0</v>
      </c>
      <c r="AI45" s="79">
        <f>'Customer Pricing'!$L45</f>
        <v>0</v>
      </c>
      <c r="AJ45">
        <f>'Customer Pricing'!$O45</f>
        <v>0</v>
      </c>
      <c r="AK45">
        <f>'Customer Pricing'!$P45</f>
        <v>0</v>
      </c>
      <c r="AL45" t="e" cm="1">
        <f t="array" ref="AL45">IF(AJ45="",0, MATCH(LOWER(AJ45), LOWER($AA$1:$AA$12), 0))</f>
        <v>#N/A</v>
      </c>
      <c r="AM45">
        <f t="shared" si="4"/>
        <v>1</v>
      </c>
      <c r="AN45" t="b">
        <f t="shared" si="5"/>
        <v>0</v>
      </c>
      <c r="AO45" t="e">
        <f t="shared" si="6"/>
        <v>#N/A</v>
      </c>
      <c r="AP45" t="e">
        <f t="shared" si="37"/>
        <v>#N/A</v>
      </c>
      <c r="AQ45" t="e">
        <f t="shared" si="37"/>
        <v>#N/A</v>
      </c>
      <c r="AR45" t="e">
        <f t="shared" si="37"/>
        <v>#N/A</v>
      </c>
      <c r="AS45" t="e">
        <f t="shared" si="37"/>
        <v>#N/A</v>
      </c>
      <c r="AT45" t="e">
        <f t="shared" si="37"/>
        <v>#N/A</v>
      </c>
      <c r="AU45" t="e">
        <f t="shared" si="37"/>
        <v>#N/A</v>
      </c>
      <c r="AV45" t="e">
        <f t="shared" si="37"/>
        <v>#N/A</v>
      </c>
      <c r="AW45" t="e">
        <f t="shared" si="37"/>
        <v>#N/A</v>
      </c>
      <c r="AX45" t="e">
        <f t="shared" si="37"/>
        <v>#N/A</v>
      </c>
      <c r="AY45" t="e">
        <f t="shared" si="37"/>
        <v>#N/A</v>
      </c>
      <c r="AZ45" t="e">
        <f t="shared" si="37"/>
        <v>#N/A</v>
      </c>
      <c r="BA45" t="e">
        <f t="shared" si="37"/>
        <v>#N/A</v>
      </c>
      <c r="BB45">
        <f t="shared" si="8"/>
        <v>0</v>
      </c>
      <c r="BC45">
        <f t="shared" si="9"/>
        <v>0</v>
      </c>
      <c r="BD45">
        <f t="shared" si="10"/>
        <v>0</v>
      </c>
      <c r="BE45">
        <f t="shared" si="11"/>
        <v>0</v>
      </c>
      <c r="BF45">
        <f t="shared" si="12"/>
        <v>0</v>
      </c>
      <c r="BG45">
        <f t="shared" si="13"/>
        <v>0</v>
      </c>
      <c r="BH45">
        <f t="shared" si="14"/>
        <v>0</v>
      </c>
      <c r="BI45">
        <f t="shared" si="15"/>
        <v>0</v>
      </c>
      <c r="BJ45">
        <f t="shared" si="16"/>
        <v>0</v>
      </c>
      <c r="BK45">
        <f t="shared" si="17"/>
        <v>0</v>
      </c>
      <c r="BL45">
        <f t="shared" si="18"/>
        <v>0</v>
      </c>
      <c r="BM45">
        <f t="shared" si="19"/>
        <v>0</v>
      </c>
      <c r="BN45">
        <f t="shared" si="20"/>
        <v>0</v>
      </c>
      <c r="BO45">
        <f t="shared" si="21"/>
        <v>0</v>
      </c>
      <c r="BP45">
        <f t="shared" si="22"/>
        <v>0</v>
      </c>
      <c r="BQ45">
        <f t="shared" si="23"/>
        <v>0</v>
      </c>
      <c r="BR45">
        <f t="shared" si="24"/>
        <v>0</v>
      </c>
      <c r="BS45">
        <f t="shared" si="25"/>
        <v>0</v>
      </c>
      <c r="BT45">
        <f t="shared" si="26"/>
        <v>0</v>
      </c>
      <c r="BU45">
        <f t="shared" si="27"/>
        <v>0</v>
      </c>
      <c r="BV45">
        <f t="shared" si="28"/>
        <v>0</v>
      </c>
      <c r="BW45">
        <f t="shared" si="29"/>
        <v>0</v>
      </c>
      <c r="BX45">
        <f t="shared" si="30"/>
        <v>0</v>
      </c>
      <c r="BY45">
        <f t="shared" si="31"/>
        <v>0</v>
      </c>
    </row>
    <row r="46" spans="31:77" x14ac:dyDescent="0.25">
      <c r="AE46" s="79">
        <f>'Customer Pricing'!$B46</f>
        <v>0.2</v>
      </c>
      <c r="AF46" s="77">
        <f>'Customer Pricing'!$J46</f>
        <v>0</v>
      </c>
      <c r="AG46" s="77">
        <f>'Customer Pricing'!$E46</f>
        <v>10.947691665683882</v>
      </c>
      <c r="AH46">
        <f>'Customer Pricing'!$I46</f>
        <v>0</v>
      </c>
      <c r="AI46" s="79">
        <f>'Customer Pricing'!$L46</f>
        <v>0</v>
      </c>
      <c r="AJ46">
        <f>'Customer Pricing'!$O46</f>
        <v>0</v>
      </c>
      <c r="AK46">
        <f>'Customer Pricing'!$P46</f>
        <v>0</v>
      </c>
      <c r="AL46" t="e" cm="1">
        <f t="array" ref="AL46">IF(AJ46="",0, MATCH(LOWER(AJ46), LOWER($AA$1:$AA$12), 0))</f>
        <v>#N/A</v>
      </c>
      <c r="AM46">
        <f t="shared" si="4"/>
        <v>1</v>
      </c>
      <c r="AN46" t="b">
        <f t="shared" si="5"/>
        <v>0</v>
      </c>
      <c r="AO46" t="e">
        <f t="shared" si="6"/>
        <v>#N/A</v>
      </c>
      <c r="AP46" t="e">
        <f t="shared" si="37"/>
        <v>#N/A</v>
      </c>
      <c r="AQ46" t="e">
        <f t="shared" si="37"/>
        <v>#N/A</v>
      </c>
      <c r="AR46" t="e">
        <f t="shared" si="37"/>
        <v>#N/A</v>
      </c>
      <c r="AS46" t="e">
        <f t="shared" si="37"/>
        <v>#N/A</v>
      </c>
      <c r="AT46" t="e">
        <f t="shared" si="37"/>
        <v>#N/A</v>
      </c>
      <c r="AU46" t="e">
        <f t="shared" si="37"/>
        <v>#N/A</v>
      </c>
      <c r="AV46" t="e">
        <f t="shared" si="37"/>
        <v>#N/A</v>
      </c>
      <c r="AW46" t="e">
        <f t="shared" si="37"/>
        <v>#N/A</v>
      </c>
      <c r="AX46" t="e">
        <f t="shared" si="37"/>
        <v>#N/A</v>
      </c>
      <c r="AY46" t="e">
        <f t="shared" si="37"/>
        <v>#N/A</v>
      </c>
      <c r="AZ46" t="e">
        <f t="shared" si="37"/>
        <v>#N/A</v>
      </c>
      <c r="BA46" t="e">
        <f t="shared" si="37"/>
        <v>#N/A</v>
      </c>
      <c r="BB46">
        <f t="shared" si="8"/>
        <v>0</v>
      </c>
      <c r="BC46">
        <f t="shared" si="9"/>
        <v>0</v>
      </c>
      <c r="BD46">
        <f t="shared" si="10"/>
        <v>0</v>
      </c>
      <c r="BE46">
        <f t="shared" si="11"/>
        <v>0</v>
      </c>
      <c r="BF46">
        <f t="shared" si="12"/>
        <v>0</v>
      </c>
      <c r="BG46">
        <f t="shared" si="13"/>
        <v>0</v>
      </c>
      <c r="BH46">
        <f t="shared" si="14"/>
        <v>0</v>
      </c>
      <c r="BI46">
        <f t="shared" si="15"/>
        <v>0</v>
      </c>
      <c r="BJ46">
        <f t="shared" si="16"/>
        <v>0</v>
      </c>
      <c r="BK46">
        <f t="shared" si="17"/>
        <v>0</v>
      </c>
      <c r="BL46">
        <f t="shared" si="18"/>
        <v>0</v>
      </c>
      <c r="BM46">
        <f t="shared" si="19"/>
        <v>0</v>
      </c>
      <c r="BN46">
        <f t="shared" si="20"/>
        <v>0</v>
      </c>
      <c r="BO46">
        <f t="shared" si="21"/>
        <v>0</v>
      </c>
      <c r="BP46">
        <f t="shared" si="22"/>
        <v>0</v>
      </c>
      <c r="BQ46">
        <f t="shared" si="23"/>
        <v>0</v>
      </c>
      <c r="BR46">
        <f t="shared" si="24"/>
        <v>0</v>
      </c>
      <c r="BS46">
        <f t="shared" si="25"/>
        <v>0</v>
      </c>
      <c r="BT46">
        <f t="shared" si="26"/>
        <v>0</v>
      </c>
      <c r="BU46">
        <f t="shared" si="27"/>
        <v>0</v>
      </c>
      <c r="BV46">
        <f t="shared" si="28"/>
        <v>0</v>
      </c>
      <c r="BW46">
        <f t="shared" si="29"/>
        <v>0</v>
      </c>
      <c r="BX46">
        <f t="shared" si="30"/>
        <v>0</v>
      </c>
      <c r="BY46">
        <f t="shared" si="31"/>
        <v>0</v>
      </c>
    </row>
    <row r="47" spans="31:77" x14ac:dyDescent="0.25">
      <c r="AE47" s="79">
        <f>'Customer Pricing'!$B47</f>
        <v>0.2</v>
      </c>
      <c r="AF47" s="77">
        <f>'Customer Pricing'!$J47</f>
        <v>0</v>
      </c>
      <c r="AG47" s="77">
        <f>'Customer Pricing'!$E47</f>
        <v>19.693870145421887</v>
      </c>
      <c r="AH47">
        <f>'Customer Pricing'!$I47</f>
        <v>0</v>
      </c>
      <c r="AI47" s="79">
        <f>'Customer Pricing'!$L47</f>
        <v>0</v>
      </c>
      <c r="AJ47">
        <f>'Customer Pricing'!$O47</f>
        <v>0</v>
      </c>
      <c r="AK47">
        <f>'Customer Pricing'!$P47</f>
        <v>0</v>
      </c>
      <c r="AL47" t="e" cm="1">
        <f t="array" ref="AL47">IF(AJ47="",0, MATCH(LOWER(AJ47), LOWER($AA$1:$AA$12), 0))</f>
        <v>#N/A</v>
      </c>
      <c r="AM47">
        <f t="shared" si="4"/>
        <v>1</v>
      </c>
      <c r="AN47" t="b">
        <f t="shared" si="5"/>
        <v>0</v>
      </c>
      <c r="AO47" t="e">
        <f t="shared" si="6"/>
        <v>#N/A</v>
      </c>
      <c r="AP47" t="e">
        <f t="shared" si="37"/>
        <v>#N/A</v>
      </c>
      <c r="AQ47" t="e">
        <f t="shared" si="37"/>
        <v>#N/A</v>
      </c>
      <c r="AR47" t="e">
        <f t="shared" si="37"/>
        <v>#N/A</v>
      </c>
      <c r="AS47" t="e">
        <f t="shared" si="37"/>
        <v>#N/A</v>
      </c>
      <c r="AT47" t="e">
        <f t="shared" si="37"/>
        <v>#N/A</v>
      </c>
      <c r="AU47" t="e">
        <f t="shared" si="37"/>
        <v>#N/A</v>
      </c>
      <c r="AV47" t="e">
        <f t="shared" si="37"/>
        <v>#N/A</v>
      </c>
      <c r="AW47" t="e">
        <f t="shared" si="37"/>
        <v>#N/A</v>
      </c>
      <c r="AX47" t="e">
        <f t="shared" si="37"/>
        <v>#N/A</v>
      </c>
      <c r="AY47" t="e">
        <f t="shared" si="37"/>
        <v>#N/A</v>
      </c>
      <c r="AZ47" t="e">
        <f t="shared" si="37"/>
        <v>#N/A</v>
      </c>
      <c r="BA47" t="e">
        <f t="shared" si="37"/>
        <v>#N/A</v>
      </c>
      <c r="BB47">
        <f t="shared" si="8"/>
        <v>0</v>
      </c>
      <c r="BC47">
        <f t="shared" si="9"/>
        <v>0</v>
      </c>
      <c r="BD47">
        <f t="shared" si="10"/>
        <v>0</v>
      </c>
      <c r="BE47">
        <f t="shared" si="11"/>
        <v>0</v>
      </c>
      <c r="BF47">
        <f t="shared" si="12"/>
        <v>0</v>
      </c>
      <c r="BG47">
        <f t="shared" si="13"/>
        <v>0</v>
      </c>
      <c r="BH47">
        <f t="shared" si="14"/>
        <v>0</v>
      </c>
      <c r="BI47">
        <f t="shared" si="15"/>
        <v>0</v>
      </c>
      <c r="BJ47">
        <f t="shared" si="16"/>
        <v>0</v>
      </c>
      <c r="BK47">
        <f t="shared" si="17"/>
        <v>0</v>
      </c>
      <c r="BL47">
        <f t="shared" si="18"/>
        <v>0</v>
      </c>
      <c r="BM47">
        <f t="shared" si="19"/>
        <v>0</v>
      </c>
      <c r="BN47">
        <f t="shared" si="20"/>
        <v>0</v>
      </c>
      <c r="BO47">
        <f t="shared" si="21"/>
        <v>0</v>
      </c>
      <c r="BP47">
        <f t="shared" si="22"/>
        <v>0</v>
      </c>
      <c r="BQ47">
        <f t="shared" si="23"/>
        <v>0</v>
      </c>
      <c r="BR47">
        <f t="shared" si="24"/>
        <v>0</v>
      </c>
      <c r="BS47">
        <f t="shared" si="25"/>
        <v>0</v>
      </c>
      <c r="BT47">
        <f t="shared" si="26"/>
        <v>0</v>
      </c>
      <c r="BU47">
        <f t="shared" si="27"/>
        <v>0</v>
      </c>
      <c r="BV47">
        <f t="shared" si="28"/>
        <v>0</v>
      </c>
      <c r="BW47">
        <f t="shared" si="29"/>
        <v>0</v>
      </c>
      <c r="BX47">
        <f t="shared" si="30"/>
        <v>0</v>
      </c>
      <c r="BY47">
        <f t="shared" si="31"/>
        <v>0</v>
      </c>
    </row>
    <row r="48" spans="31:77" x14ac:dyDescent="0.25">
      <c r="AE48" s="79">
        <f>'Customer Pricing'!$B48</f>
        <v>0.2</v>
      </c>
      <c r="AF48" s="77">
        <f>'Customer Pricing'!$J48</f>
        <v>0</v>
      </c>
      <c r="AG48" s="77">
        <f>'Customer Pricing'!$E48</f>
        <v>26.095200079832356</v>
      </c>
      <c r="AH48">
        <f>'Customer Pricing'!$I48</f>
        <v>0</v>
      </c>
      <c r="AI48" s="79">
        <f>'Customer Pricing'!$L48</f>
        <v>0</v>
      </c>
      <c r="AJ48">
        <f>'Customer Pricing'!$O48</f>
        <v>0</v>
      </c>
      <c r="AK48">
        <f>'Customer Pricing'!$P48</f>
        <v>0</v>
      </c>
      <c r="AL48" t="e" cm="1">
        <f t="array" ref="AL48">IF(AJ48="",0, MATCH(LOWER(AJ48), LOWER($AA$1:$AA$12), 0))</f>
        <v>#N/A</v>
      </c>
      <c r="AM48">
        <f t="shared" si="4"/>
        <v>1</v>
      </c>
      <c r="AN48" t="b">
        <f t="shared" si="5"/>
        <v>0</v>
      </c>
      <c r="AO48" t="e">
        <f t="shared" si="6"/>
        <v>#N/A</v>
      </c>
      <c r="AP48" t="e">
        <f t="shared" si="37"/>
        <v>#N/A</v>
      </c>
      <c r="AQ48" t="e">
        <f t="shared" si="37"/>
        <v>#N/A</v>
      </c>
      <c r="AR48" t="e">
        <f t="shared" si="37"/>
        <v>#N/A</v>
      </c>
      <c r="AS48" t="e">
        <f t="shared" si="37"/>
        <v>#N/A</v>
      </c>
      <c r="AT48" t="e">
        <f t="shared" si="37"/>
        <v>#N/A</v>
      </c>
      <c r="AU48" t="e">
        <f t="shared" si="37"/>
        <v>#N/A</v>
      </c>
      <c r="AV48" t="e">
        <f t="shared" si="37"/>
        <v>#N/A</v>
      </c>
      <c r="AW48" t="e">
        <f t="shared" si="37"/>
        <v>#N/A</v>
      </c>
      <c r="AX48" t="e">
        <f t="shared" si="37"/>
        <v>#N/A</v>
      </c>
      <c r="AY48" t="e">
        <f t="shared" si="37"/>
        <v>#N/A</v>
      </c>
      <c r="AZ48" t="e">
        <f t="shared" si="37"/>
        <v>#N/A</v>
      </c>
      <c r="BA48" t="e">
        <f t="shared" si="37"/>
        <v>#N/A</v>
      </c>
      <c r="BB48">
        <f t="shared" si="8"/>
        <v>0</v>
      </c>
      <c r="BC48">
        <f t="shared" si="9"/>
        <v>0</v>
      </c>
      <c r="BD48">
        <f t="shared" si="10"/>
        <v>0</v>
      </c>
      <c r="BE48">
        <f t="shared" si="11"/>
        <v>0</v>
      </c>
      <c r="BF48">
        <f t="shared" si="12"/>
        <v>0</v>
      </c>
      <c r="BG48">
        <f t="shared" si="13"/>
        <v>0</v>
      </c>
      <c r="BH48">
        <f t="shared" si="14"/>
        <v>0</v>
      </c>
      <c r="BI48">
        <f t="shared" si="15"/>
        <v>0</v>
      </c>
      <c r="BJ48">
        <f t="shared" si="16"/>
        <v>0</v>
      </c>
      <c r="BK48">
        <f t="shared" si="17"/>
        <v>0</v>
      </c>
      <c r="BL48">
        <f t="shared" si="18"/>
        <v>0</v>
      </c>
      <c r="BM48">
        <f t="shared" si="19"/>
        <v>0</v>
      </c>
      <c r="BN48">
        <f t="shared" si="20"/>
        <v>0</v>
      </c>
      <c r="BO48">
        <f t="shared" si="21"/>
        <v>0</v>
      </c>
      <c r="BP48">
        <f t="shared" si="22"/>
        <v>0</v>
      </c>
      <c r="BQ48">
        <f t="shared" si="23"/>
        <v>0</v>
      </c>
      <c r="BR48">
        <f t="shared" si="24"/>
        <v>0</v>
      </c>
      <c r="BS48">
        <f t="shared" si="25"/>
        <v>0</v>
      </c>
      <c r="BT48">
        <f t="shared" si="26"/>
        <v>0</v>
      </c>
      <c r="BU48">
        <f t="shared" si="27"/>
        <v>0</v>
      </c>
      <c r="BV48">
        <f t="shared" si="28"/>
        <v>0</v>
      </c>
      <c r="BW48">
        <f t="shared" si="29"/>
        <v>0</v>
      </c>
      <c r="BX48">
        <f t="shared" si="30"/>
        <v>0</v>
      </c>
      <c r="BY48">
        <f t="shared" si="31"/>
        <v>0</v>
      </c>
    </row>
    <row r="49" spans="31:77" x14ac:dyDescent="0.25">
      <c r="AE49" s="79">
        <f>'Customer Pricing'!$B49</f>
        <v>0</v>
      </c>
      <c r="AF49" s="77">
        <f>'Customer Pricing'!$J49</f>
        <v>0</v>
      </c>
      <c r="AG49" s="77">
        <f>'Customer Pricing'!$E49</f>
        <v>7.60970080739538</v>
      </c>
      <c r="AH49">
        <f>'Customer Pricing'!$I49</f>
        <v>0</v>
      </c>
      <c r="AI49" s="79">
        <f>'Customer Pricing'!$L49</f>
        <v>0</v>
      </c>
      <c r="AJ49">
        <f>'Customer Pricing'!$O49</f>
        <v>0</v>
      </c>
      <c r="AK49">
        <f>'Customer Pricing'!$P49</f>
        <v>0</v>
      </c>
      <c r="AL49" t="e" cm="1">
        <f t="array" ref="AL49">IF(AJ49="",0, MATCH(LOWER(AJ49), LOWER($AA$1:$AA$12), 0))</f>
        <v>#N/A</v>
      </c>
      <c r="AM49">
        <f t="shared" si="4"/>
        <v>1</v>
      </c>
      <c r="AN49" t="b">
        <f t="shared" si="5"/>
        <v>0</v>
      </c>
      <c r="AO49" t="e">
        <f t="shared" si="6"/>
        <v>#N/A</v>
      </c>
      <c r="AP49" t="e">
        <f t="shared" si="37"/>
        <v>#N/A</v>
      </c>
      <c r="AQ49" t="e">
        <f t="shared" si="37"/>
        <v>#N/A</v>
      </c>
      <c r="AR49" t="e">
        <f t="shared" si="37"/>
        <v>#N/A</v>
      </c>
      <c r="AS49" t="e">
        <f t="shared" si="37"/>
        <v>#N/A</v>
      </c>
      <c r="AT49" t="e">
        <f t="shared" si="37"/>
        <v>#N/A</v>
      </c>
      <c r="AU49" t="e">
        <f t="shared" si="37"/>
        <v>#N/A</v>
      </c>
      <c r="AV49" t="e">
        <f t="shared" si="37"/>
        <v>#N/A</v>
      </c>
      <c r="AW49" t="e">
        <f t="shared" si="37"/>
        <v>#N/A</v>
      </c>
      <c r="AX49" t="e">
        <f t="shared" si="37"/>
        <v>#N/A</v>
      </c>
      <c r="AY49" t="e">
        <f t="shared" si="37"/>
        <v>#N/A</v>
      </c>
      <c r="AZ49" t="e">
        <f t="shared" si="37"/>
        <v>#N/A</v>
      </c>
      <c r="BA49" t="e">
        <f t="shared" si="37"/>
        <v>#N/A</v>
      </c>
      <c r="BB49">
        <f t="shared" si="8"/>
        <v>0</v>
      </c>
      <c r="BC49">
        <f t="shared" si="9"/>
        <v>0</v>
      </c>
      <c r="BD49">
        <f t="shared" si="10"/>
        <v>0</v>
      </c>
      <c r="BE49">
        <f t="shared" si="11"/>
        <v>0</v>
      </c>
      <c r="BF49">
        <f t="shared" si="12"/>
        <v>0</v>
      </c>
      <c r="BG49">
        <f t="shared" si="13"/>
        <v>0</v>
      </c>
      <c r="BH49">
        <f t="shared" si="14"/>
        <v>0</v>
      </c>
      <c r="BI49">
        <f t="shared" si="15"/>
        <v>0</v>
      </c>
      <c r="BJ49">
        <f t="shared" si="16"/>
        <v>0</v>
      </c>
      <c r="BK49">
        <f t="shared" si="17"/>
        <v>0</v>
      </c>
      <c r="BL49">
        <f t="shared" si="18"/>
        <v>0</v>
      </c>
      <c r="BM49">
        <f t="shared" si="19"/>
        <v>0</v>
      </c>
      <c r="BN49">
        <f t="shared" si="20"/>
        <v>0</v>
      </c>
      <c r="BO49">
        <f t="shared" si="21"/>
        <v>0</v>
      </c>
      <c r="BP49">
        <f t="shared" si="22"/>
        <v>0</v>
      </c>
      <c r="BQ49">
        <f t="shared" si="23"/>
        <v>0</v>
      </c>
      <c r="BR49">
        <f t="shared" si="24"/>
        <v>0</v>
      </c>
      <c r="BS49">
        <f t="shared" si="25"/>
        <v>0</v>
      </c>
      <c r="BT49">
        <f t="shared" si="26"/>
        <v>0</v>
      </c>
      <c r="BU49">
        <f t="shared" si="27"/>
        <v>0</v>
      </c>
      <c r="BV49">
        <f t="shared" si="28"/>
        <v>0</v>
      </c>
      <c r="BW49">
        <f t="shared" si="29"/>
        <v>0</v>
      </c>
      <c r="BX49">
        <f t="shared" si="30"/>
        <v>0</v>
      </c>
      <c r="BY49">
        <f t="shared" si="31"/>
        <v>0</v>
      </c>
    </row>
    <row r="50" spans="31:77" x14ac:dyDescent="0.25">
      <c r="AE50" s="79">
        <f>'Customer Pricing'!$B50</f>
        <v>0</v>
      </c>
      <c r="AF50" s="77">
        <f>'Customer Pricing'!$J50</f>
        <v>0</v>
      </c>
      <c r="AG50" s="77">
        <f>'Customer Pricing'!$E50</f>
        <v>0</v>
      </c>
      <c r="AH50">
        <f>'Customer Pricing'!$I50</f>
        <v>0</v>
      </c>
      <c r="AI50" s="79">
        <f>'Customer Pricing'!$L50</f>
        <v>0</v>
      </c>
      <c r="AJ50">
        <f>'Customer Pricing'!$O50</f>
        <v>0</v>
      </c>
      <c r="AK50">
        <f>'Customer Pricing'!$P50</f>
        <v>0</v>
      </c>
      <c r="AL50" t="e" cm="1">
        <f t="array" ref="AL50">IF(AJ50="",0, MATCH(LOWER(AJ50), LOWER($AA$1:$AA$12), 0))</f>
        <v>#N/A</v>
      </c>
      <c r="AM50">
        <f t="shared" si="4"/>
        <v>1</v>
      </c>
      <c r="AN50" t="b">
        <f t="shared" si="5"/>
        <v>0</v>
      </c>
      <c r="AO50" t="e">
        <f t="shared" si="6"/>
        <v>#N/A</v>
      </c>
      <c r="AP50" t="e">
        <f t="shared" si="37"/>
        <v>#N/A</v>
      </c>
      <c r="AQ50" t="e">
        <f t="shared" si="37"/>
        <v>#N/A</v>
      </c>
      <c r="AR50" t="e">
        <f t="shared" si="37"/>
        <v>#N/A</v>
      </c>
      <c r="AS50" t="e">
        <f t="shared" si="37"/>
        <v>#N/A</v>
      </c>
      <c r="AT50" t="e">
        <f t="shared" si="37"/>
        <v>#N/A</v>
      </c>
      <c r="AU50" t="e">
        <f t="shared" si="37"/>
        <v>#N/A</v>
      </c>
      <c r="AV50" t="e">
        <f t="shared" si="37"/>
        <v>#N/A</v>
      </c>
      <c r="AW50" t="e">
        <f t="shared" si="37"/>
        <v>#N/A</v>
      </c>
      <c r="AX50" t="e">
        <f t="shared" si="37"/>
        <v>#N/A</v>
      </c>
      <c r="AY50" t="e">
        <f t="shared" si="37"/>
        <v>#N/A</v>
      </c>
      <c r="AZ50" t="e">
        <f t="shared" si="37"/>
        <v>#N/A</v>
      </c>
      <c r="BA50" t="e">
        <f t="shared" si="37"/>
        <v>#N/A</v>
      </c>
      <c r="BB50">
        <f t="shared" si="8"/>
        <v>0</v>
      </c>
      <c r="BC50">
        <f t="shared" si="9"/>
        <v>0</v>
      </c>
      <c r="BD50">
        <f t="shared" si="10"/>
        <v>0</v>
      </c>
      <c r="BE50">
        <f t="shared" si="11"/>
        <v>0</v>
      </c>
      <c r="BF50">
        <f t="shared" si="12"/>
        <v>0</v>
      </c>
      <c r="BG50">
        <f t="shared" si="13"/>
        <v>0</v>
      </c>
      <c r="BH50">
        <f t="shared" si="14"/>
        <v>0</v>
      </c>
      <c r="BI50">
        <f t="shared" si="15"/>
        <v>0</v>
      </c>
      <c r="BJ50">
        <f t="shared" si="16"/>
        <v>0</v>
      </c>
      <c r="BK50">
        <f t="shared" si="17"/>
        <v>0</v>
      </c>
      <c r="BL50">
        <f t="shared" si="18"/>
        <v>0</v>
      </c>
      <c r="BM50">
        <f t="shared" si="19"/>
        <v>0</v>
      </c>
      <c r="BN50">
        <f t="shared" si="20"/>
        <v>0</v>
      </c>
      <c r="BO50">
        <f t="shared" si="21"/>
        <v>0</v>
      </c>
      <c r="BP50">
        <f t="shared" si="22"/>
        <v>0</v>
      </c>
      <c r="BQ50">
        <f t="shared" si="23"/>
        <v>0</v>
      </c>
      <c r="BR50">
        <f t="shared" si="24"/>
        <v>0</v>
      </c>
      <c r="BS50">
        <f t="shared" si="25"/>
        <v>0</v>
      </c>
      <c r="BT50">
        <f t="shared" si="26"/>
        <v>0</v>
      </c>
      <c r="BU50">
        <f t="shared" si="27"/>
        <v>0</v>
      </c>
      <c r="BV50">
        <f t="shared" si="28"/>
        <v>0</v>
      </c>
      <c r="BW50">
        <f t="shared" si="29"/>
        <v>0</v>
      </c>
      <c r="BX50">
        <f t="shared" si="30"/>
        <v>0</v>
      </c>
      <c r="BY50">
        <f t="shared" si="31"/>
        <v>0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B1C2-75B7-49AB-897C-C18C93B3C135}">
  <dimension ref="A1:O34"/>
  <sheetViews>
    <sheetView workbookViewId="0">
      <pane ySplit="1" topLeftCell="A2" activePane="bottomLeft" state="frozen"/>
      <selection pane="bottomLeft" activeCell="H14" sqref="H14"/>
    </sheetView>
  </sheetViews>
  <sheetFormatPr defaultRowHeight="15" x14ac:dyDescent="0.25"/>
  <cols>
    <col min="1" max="1" width="29" bestFit="1" customWidth="1"/>
    <col min="2" max="7" width="11.5703125" bestFit="1" customWidth="1"/>
    <col min="8" max="8" width="12.5703125" bestFit="1" customWidth="1"/>
    <col min="9" max="13" width="11.5703125" bestFit="1" customWidth="1"/>
    <col min="15" max="15" width="12.5703125" bestFit="1" customWidth="1"/>
  </cols>
  <sheetData>
    <row r="1" spans="1:15" x14ac:dyDescent="0.25">
      <c r="B1" s="75">
        <v>45658</v>
      </c>
      <c r="C1" s="75">
        <v>45689</v>
      </c>
      <c r="D1" s="75">
        <v>45717</v>
      </c>
      <c r="E1" s="75">
        <v>45748</v>
      </c>
      <c r="F1" s="75">
        <v>45778</v>
      </c>
      <c r="G1" s="75">
        <v>45809</v>
      </c>
      <c r="H1" s="75">
        <v>45839</v>
      </c>
      <c r="I1" s="75">
        <v>45870</v>
      </c>
      <c r="J1" s="75">
        <v>45901</v>
      </c>
      <c r="K1" s="75">
        <v>45931</v>
      </c>
      <c r="L1" s="75">
        <v>45962</v>
      </c>
      <c r="M1" s="75">
        <v>45992</v>
      </c>
      <c r="O1" t="s">
        <v>249</v>
      </c>
    </row>
    <row r="2" spans="1:15" x14ac:dyDescent="0.25">
      <c r="A2" s="6" t="s">
        <v>255</v>
      </c>
      <c r="B2" s="78">
        <v>3000</v>
      </c>
      <c r="C2" s="78">
        <v>5000</v>
      </c>
      <c r="D2" s="78">
        <v>5000</v>
      </c>
      <c r="E2" s="78">
        <v>5000</v>
      </c>
      <c r="F2" s="78">
        <v>8000</v>
      </c>
      <c r="G2" s="78">
        <v>8000</v>
      </c>
      <c r="H2" s="78">
        <v>8000</v>
      </c>
      <c r="I2" s="78">
        <v>10000</v>
      </c>
      <c r="J2" s="78">
        <v>10000</v>
      </c>
      <c r="K2" s="78">
        <v>10000</v>
      </c>
      <c r="L2" s="78">
        <v>10000</v>
      </c>
      <c r="M2" s="78">
        <v>10000</v>
      </c>
      <c r="O2" s="77">
        <f>+SUM(B2:M2)</f>
        <v>92000</v>
      </c>
    </row>
    <row r="3" spans="1:15" x14ac:dyDescent="0.25">
      <c r="A3" s="6" t="s">
        <v>254</v>
      </c>
      <c r="B3" s="78">
        <v>3000</v>
      </c>
      <c r="C3" s="78">
        <v>5000</v>
      </c>
      <c r="D3" s="78">
        <v>5000</v>
      </c>
      <c r="E3" s="78">
        <v>5000</v>
      </c>
      <c r="F3" s="78">
        <v>8000</v>
      </c>
      <c r="G3" s="78">
        <v>8000</v>
      </c>
      <c r="H3" s="78">
        <v>8000</v>
      </c>
      <c r="I3" s="78">
        <v>10000</v>
      </c>
      <c r="J3" s="78">
        <v>10000</v>
      </c>
      <c r="K3" s="78">
        <v>10000</v>
      </c>
      <c r="L3" s="78">
        <v>10000</v>
      </c>
      <c r="M3" s="78">
        <v>10000</v>
      </c>
      <c r="O3" s="77">
        <f t="shared" ref="O3:O33" si="0">+SUM(B3:M3)</f>
        <v>92000</v>
      </c>
    </row>
    <row r="4" spans="1:15" x14ac:dyDescent="0.25">
      <c r="A4" s="6" t="s">
        <v>256</v>
      </c>
      <c r="B4" s="78">
        <v>0</v>
      </c>
      <c r="C4" s="78">
        <v>0</v>
      </c>
      <c r="D4" s="78">
        <v>3000</v>
      </c>
      <c r="E4" s="78">
        <v>15000</v>
      </c>
      <c r="F4" s="78">
        <v>15000</v>
      </c>
      <c r="G4" s="78">
        <v>10000</v>
      </c>
      <c r="H4" s="78">
        <v>10000</v>
      </c>
      <c r="I4" s="78">
        <v>10000</v>
      </c>
      <c r="J4" s="78">
        <v>10000</v>
      </c>
      <c r="K4" s="78">
        <v>10000</v>
      </c>
      <c r="L4" s="78">
        <v>10000</v>
      </c>
      <c r="M4" s="78">
        <v>10000</v>
      </c>
      <c r="O4" s="77">
        <f t="shared" si="0"/>
        <v>103000</v>
      </c>
    </row>
    <row r="5" spans="1:15" x14ac:dyDescent="0.25">
      <c r="A5" s="6" t="s">
        <v>425</v>
      </c>
      <c r="B5" s="78">
        <v>3750</v>
      </c>
      <c r="C5" s="78">
        <v>3750</v>
      </c>
      <c r="D5" s="78">
        <v>3750</v>
      </c>
      <c r="E5" s="78">
        <v>3750</v>
      </c>
      <c r="F5" s="78">
        <v>3750</v>
      </c>
      <c r="G5" s="78">
        <v>3750</v>
      </c>
      <c r="H5" s="78">
        <v>3750</v>
      </c>
      <c r="I5" s="78">
        <v>3750</v>
      </c>
      <c r="J5" s="78">
        <v>3750</v>
      </c>
      <c r="K5" s="78">
        <v>3750</v>
      </c>
      <c r="L5" s="78">
        <v>3750</v>
      </c>
      <c r="M5" s="78">
        <v>3750</v>
      </c>
      <c r="O5" s="77"/>
    </row>
    <row r="6" spans="1:15" x14ac:dyDescent="0.25">
      <c r="A6" t="s">
        <v>257</v>
      </c>
      <c r="B6" s="76">
        <f>+SUM(B2:B5)</f>
        <v>9750</v>
      </c>
      <c r="C6" s="76">
        <f t="shared" ref="C6:L6" si="1">+SUM(C2:C5)</f>
        <v>13750</v>
      </c>
      <c r="D6" s="76">
        <f t="shared" si="1"/>
        <v>16750</v>
      </c>
      <c r="E6" s="76">
        <f t="shared" si="1"/>
        <v>28750</v>
      </c>
      <c r="F6" s="76">
        <f t="shared" si="1"/>
        <v>34750</v>
      </c>
      <c r="G6" s="76">
        <f t="shared" si="1"/>
        <v>29750</v>
      </c>
      <c r="H6" s="76">
        <f t="shared" si="1"/>
        <v>29750</v>
      </c>
      <c r="I6" s="76">
        <f t="shared" si="1"/>
        <v>33750</v>
      </c>
      <c r="J6" s="76">
        <f t="shared" si="1"/>
        <v>33750</v>
      </c>
      <c r="K6" s="76">
        <f t="shared" si="1"/>
        <v>33750</v>
      </c>
      <c r="L6" s="76">
        <f t="shared" si="1"/>
        <v>33750</v>
      </c>
      <c r="M6" s="76">
        <f>+SUM(M2:M5)</f>
        <v>33750</v>
      </c>
      <c r="O6" s="77">
        <f>+SUM(B6:M6)</f>
        <v>332000</v>
      </c>
    </row>
    <row r="7" spans="1:15" x14ac:dyDescent="0.25">
      <c r="A7" s="6" t="s">
        <v>258</v>
      </c>
      <c r="B7" s="78">
        <v>0</v>
      </c>
      <c r="C7" s="78">
        <v>0</v>
      </c>
      <c r="D7" s="78">
        <v>0</v>
      </c>
      <c r="E7" s="78">
        <v>0</v>
      </c>
      <c r="F7" s="78">
        <v>0</v>
      </c>
      <c r="G7" s="78">
        <v>0</v>
      </c>
      <c r="H7" s="78">
        <v>72000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O7" s="77">
        <f t="shared" si="0"/>
        <v>72000</v>
      </c>
    </row>
    <row r="8" spans="1:15" x14ac:dyDescent="0.25">
      <c r="A8" s="6" t="s">
        <v>259</v>
      </c>
      <c r="B8" s="78">
        <v>350</v>
      </c>
      <c r="C8" s="78">
        <v>350</v>
      </c>
      <c r="D8" s="78">
        <v>350</v>
      </c>
      <c r="E8" s="78">
        <v>350</v>
      </c>
      <c r="F8" s="78">
        <v>350</v>
      </c>
      <c r="G8" s="78">
        <v>350</v>
      </c>
      <c r="H8" s="78">
        <v>350</v>
      </c>
      <c r="I8" s="78">
        <v>350</v>
      </c>
      <c r="J8" s="78">
        <v>350</v>
      </c>
      <c r="K8" s="78">
        <v>350</v>
      </c>
      <c r="L8" s="78">
        <v>350</v>
      </c>
      <c r="M8" s="78">
        <v>350</v>
      </c>
      <c r="O8" s="77">
        <f t="shared" si="0"/>
        <v>4200</v>
      </c>
    </row>
    <row r="9" spans="1:15" x14ac:dyDescent="0.25">
      <c r="A9" s="6" t="s">
        <v>260</v>
      </c>
      <c r="B9" s="78">
        <v>115</v>
      </c>
      <c r="C9" s="78">
        <v>115</v>
      </c>
      <c r="D9" s="78">
        <v>115</v>
      </c>
      <c r="E9" s="78">
        <v>115</v>
      </c>
      <c r="F9" s="78">
        <v>115</v>
      </c>
      <c r="G9" s="78">
        <v>115</v>
      </c>
      <c r="H9" s="78">
        <v>115</v>
      </c>
      <c r="I9" s="78">
        <v>115</v>
      </c>
      <c r="J9" s="78">
        <v>115</v>
      </c>
      <c r="K9" s="78">
        <v>115</v>
      </c>
      <c r="L9" s="78">
        <v>115</v>
      </c>
      <c r="M9" s="78">
        <v>115</v>
      </c>
      <c r="O9" s="77">
        <f t="shared" si="0"/>
        <v>1380</v>
      </c>
    </row>
    <row r="10" spans="1:15" x14ac:dyDescent="0.25">
      <c r="A10" s="6" t="s">
        <v>261</v>
      </c>
      <c r="B10" s="78">
        <v>100</v>
      </c>
      <c r="C10" s="78">
        <v>100</v>
      </c>
      <c r="D10" s="78">
        <v>100</v>
      </c>
      <c r="E10" s="78">
        <v>100</v>
      </c>
      <c r="F10" s="78">
        <v>100</v>
      </c>
      <c r="G10" s="78">
        <v>100</v>
      </c>
      <c r="H10" s="78">
        <v>100</v>
      </c>
      <c r="I10" s="78">
        <v>100</v>
      </c>
      <c r="J10" s="78">
        <v>100</v>
      </c>
      <c r="K10" s="78">
        <v>100</v>
      </c>
      <c r="L10" s="78">
        <v>100</v>
      </c>
      <c r="M10" s="78">
        <v>100</v>
      </c>
      <c r="O10" s="77">
        <f t="shared" si="0"/>
        <v>1200</v>
      </c>
    </row>
    <row r="11" spans="1:15" x14ac:dyDescent="0.25">
      <c r="A11" t="s">
        <v>262</v>
      </c>
      <c r="B11" s="76">
        <f>+SUM(B7:B10)</f>
        <v>565</v>
      </c>
      <c r="C11" s="76">
        <f t="shared" ref="C11:L11" si="2">+SUM(C7:C10)</f>
        <v>565</v>
      </c>
      <c r="D11" s="76">
        <f t="shared" si="2"/>
        <v>565</v>
      </c>
      <c r="E11" s="76">
        <f t="shared" si="2"/>
        <v>565</v>
      </c>
      <c r="F11" s="76">
        <f t="shared" si="2"/>
        <v>565</v>
      </c>
      <c r="G11" s="76">
        <f t="shared" si="2"/>
        <v>565</v>
      </c>
      <c r="H11" s="76">
        <f t="shared" si="2"/>
        <v>72565</v>
      </c>
      <c r="I11" s="76">
        <f t="shared" si="2"/>
        <v>565</v>
      </c>
      <c r="J11" s="76">
        <f t="shared" si="2"/>
        <v>565</v>
      </c>
      <c r="K11" s="76">
        <f t="shared" si="2"/>
        <v>565</v>
      </c>
      <c r="L11" s="76">
        <f t="shared" si="2"/>
        <v>565</v>
      </c>
      <c r="M11" s="76">
        <f>+SUM(M7:M10)</f>
        <v>565</v>
      </c>
      <c r="O11" s="77">
        <f t="shared" si="0"/>
        <v>78780</v>
      </c>
    </row>
    <row r="12" spans="1:15" x14ac:dyDescent="0.25">
      <c r="A12" t="s">
        <v>263</v>
      </c>
      <c r="B12" s="78">
        <v>200</v>
      </c>
      <c r="C12" s="78">
        <v>200</v>
      </c>
      <c r="D12" s="78">
        <v>400</v>
      </c>
      <c r="E12" s="78">
        <v>200</v>
      </c>
      <c r="F12" s="78">
        <v>200</v>
      </c>
      <c r="G12" s="78">
        <v>400</v>
      </c>
      <c r="H12" s="78">
        <v>200</v>
      </c>
      <c r="I12" s="78">
        <v>200</v>
      </c>
      <c r="J12" s="78">
        <v>400</v>
      </c>
      <c r="K12" s="78">
        <v>200</v>
      </c>
      <c r="L12" s="78">
        <v>200</v>
      </c>
      <c r="M12" s="78">
        <v>400</v>
      </c>
      <c r="O12" s="77">
        <f t="shared" si="0"/>
        <v>3200</v>
      </c>
    </row>
    <row r="13" spans="1:15" x14ac:dyDescent="0.25">
      <c r="A13" t="s">
        <v>264</v>
      </c>
      <c r="B13" s="78">
        <v>1000</v>
      </c>
      <c r="C13" s="78">
        <v>0</v>
      </c>
      <c r="D13" s="78">
        <v>1000</v>
      </c>
      <c r="E13" s="78">
        <v>0</v>
      </c>
      <c r="F13" s="78">
        <v>0</v>
      </c>
      <c r="G13" s="78">
        <v>0</v>
      </c>
      <c r="H13" s="78">
        <v>100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O13" s="77">
        <f t="shared" si="0"/>
        <v>2100</v>
      </c>
    </row>
    <row r="14" spans="1:15" x14ac:dyDescent="0.25">
      <c r="A14" t="s">
        <v>265</v>
      </c>
      <c r="B14" s="78"/>
      <c r="C14" s="78">
        <v>3170</v>
      </c>
      <c r="D14" s="78">
        <v>3050</v>
      </c>
      <c r="E14" s="78"/>
      <c r="F14" s="78">
        <v>2200</v>
      </c>
      <c r="G14" s="78">
        <v>2000</v>
      </c>
      <c r="H14" s="78">
        <v>3500</v>
      </c>
      <c r="I14" s="78">
        <v>2000</v>
      </c>
      <c r="J14" s="78">
        <v>2200</v>
      </c>
      <c r="K14" s="78">
        <v>2000</v>
      </c>
      <c r="L14" s="78">
        <v>0</v>
      </c>
      <c r="M14" s="78">
        <v>0</v>
      </c>
      <c r="O14" s="77">
        <f t="shared" si="0"/>
        <v>20120</v>
      </c>
    </row>
    <row r="15" spans="1:15" x14ac:dyDescent="0.25">
      <c r="A15" s="6" t="s">
        <v>266</v>
      </c>
      <c r="B15" s="78">
        <v>0</v>
      </c>
      <c r="C15" s="78">
        <v>0</v>
      </c>
      <c r="D15" s="78">
        <v>0</v>
      </c>
      <c r="E15" s="78">
        <v>0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O15" s="77">
        <f t="shared" si="0"/>
        <v>0</v>
      </c>
    </row>
    <row r="16" spans="1:15" x14ac:dyDescent="0.25">
      <c r="A16" s="6" t="s">
        <v>267</v>
      </c>
      <c r="B16" s="78">
        <v>220</v>
      </c>
      <c r="C16" s="78">
        <v>220</v>
      </c>
      <c r="D16" s="78">
        <v>220</v>
      </c>
      <c r="E16" s="78">
        <v>220</v>
      </c>
      <c r="F16" s="78">
        <v>220</v>
      </c>
      <c r="G16" s="78">
        <v>220</v>
      </c>
      <c r="H16" s="78">
        <v>220</v>
      </c>
      <c r="I16" s="78">
        <v>220</v>
      </c>
      <c r="J16" s="78">
        <v>220</v>
      </c>
      <c r="K16" s="78">
        <v>220</v>
      </c>
      <c r="L16" s="78">
        <v>220</v>
      </c>
      <c r="M16" s="78">
        <v>220</v>
      </c>
      <c r="O16" s="77">
        <f t="shared" si="0"/>
        <v>2640</v>
      </c>
    </row>
    <row r="17" spans="1:15" x14ac:dyDescent="0.25">
      <c r="A17" t="s">
        <v>268</v>
      </c>
      <c r="B17" s="76">
        <f>+SUM(B15:B16)</f>
        <v>220</v>
      </c>
      <c r="C17" s="76">
        <f t="shared" ref="C17:M17" si="3">+SUM(C15:C16)</f>
        <v>220</v>
      </c>
      <c r="D17" s="76">
        <f t="shared" si="3"/>
        <v>220</v>
      </c>
      <c r="E17" s="76">
        <f t="shared" si="3"/>
        <v>220</v>
      </c>
      <c r="F17" s="76">
        <f t="shared" si="3"/>
        <v>220</v>
      </c>
      <c r="G17" s="76">
        <f t="shared" si="3"/>
        <v>220</v>
      </c>
      <c r="H17" s="76">
        <f t="shared" si="3"/>
        <v>220</v>
      </c>
      <c r="I17" s="76">
        <f t="shared" si="3"/>
        <v>220</v>
      </c>
      <c r="J17" s="76">
        <f t="shared" si="3"/>
        <v>220</v>
      </c>
      <c r="K17" s="76">
        <f t="shared" si="3"/>
        <v>220</v>
      </c>
      <c r="L17" s="76">
        <f t="shared" si="3"/>
        <v>220</v>
      </c>
      <c r="M17" s="76">
        <f t="shared" si="3"/>
        <v>220</v>
      </c>
      <c r="O17" s="77">
        <f t="shared" si="0"/>
        <v>2640</v>
      </c>
    </row>
    <row r="18" spans="1:15" x14ac:dyDescent="0.25">
      <c r="A18" t="s">
        <v>269</v>
      </c>
      <c r="B18" s="78">
        <v>140</v>
      </c>
      <c r="C18" s="78">
        <v>140</v>
      </c>
      <c r="D18" s="78">
        <f>140+100</f>
        <v>240</v>
      </c>
      <c r="E18" s="78">
        <v>140</v>
      </c>
      <c r="F18" s="78">
        <v>140</v>
      </c>
      <c r="G18" s="78">
        <v>140</v>
      </c>
      <c r="H18" s="78">
        <v>140</v>
      </c>
      <c r="I18" s="78">
        <v>140</v>
      </c>
      <c r="J18" s="78">
        <v>140</v>
      </c>
      <c r="K18" s="78">
        <v>140</v>
      </c>
      <c r="L18" s="78">
        <v>140</v>
      </c>
      <c r="M18" s="78">
        <v>140</v>
      </c>
      <c r="O18" s="77">
        <f t="shared" si="0"/>
        <v>1780</v>
      </c>
    </row>
    <row r="19" spans="1:15" x14ac:dyDescent="0.25">
      <c r="A19" s="6" t="s">
        <v>270</v>
      </c>
      <c r="B19" s="78">
        <v>90</v>
      </c>
      <c r="C19" s="78">
        <v>90</v>
      </c>
      <c r="D19" s="78">
        <v>90</v>
      </c>
      <c r="E19" s="78">
        <v>90</v>
      </c>
      <c r="F19" s="78">
        <v>90</v>
      </c>
      <c r="G19" s="78">
        <v>90</v>
      </c>
      <c r="H19" s="78">
        <v>90</v>
      </c>
      <c r="I19" s="78">
        <v>90</v>
      </c>
      <c r="J19" s="78">
        <v>90</v>
      </c>
      <c r="K19" s="78">
        <v>90</v>
      </c>
      <c r="L19" s="78">
        <v>90</v>
      </c>
      <c r="M19" s="78">
        <v>90</v>
      </c>
      <c r="O19" s="77">
        <f t="shared" si="0"/>
        <v>1080</v>
      </c>
    </row>
    <row r="20" spans="1:15" x14ac:dyDescent="0.25">
      <c r="A20" s="6" t="s">
        <v>271</v>
      </c>
      <c r="B20" s="78">
        <v>0</v>
      </c>
      <c r="C20" s="78">
        <v>0</v>
      </c>
      <c r="D20" s="78">
        <v>0</v>
      </c>
      <c r="E20" s="78">
        <v>0</v>
      </c>
      <c r="F20" s="78">
        <v>0</v>
      </c>
      <c r="G20" s="78">
        <v>350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O20" s="77">
        <f t="shared" si="0"/>
        <v>350</v>
      </c>
    </row>
    <row r="21" spans="1:15" x14ac:dyDescent="0.25">
      <c r="A21" s="6" t="s">
        <v>272</v>
      </c>
      <c r="B21" s="78">
        <v>200</v>
      </c>
      <c r="C21" s="78">
        <v>200</v>
      </c>
      <c r="D21" s="78">
        <v>200</v>
      </c>
      <c r="E21" s="78">
        <v>200</v>
      </c>
      <c r="F21" s="78">
        <v>200</v>
      </c>
      <c r="G21" s="78">
        <v>200</v>
      </c>
      <c r="H21" s="78">
        <v>200</v>
      </c>
      <c r="I21" s="78">
        <v>200</v>
      </c>
      <c r="J21" s="78">
        <v>200</v>
      </c>
      <c r="K21" s="78">
        <v>200</v>
      </c>
      <c r="L21" s="78">
        <v>200</v>
      </c>
      <c r="M21" s="78">
        <v>200</v>
      </c>
      <c r="O21" s="77">
        <f t="shared" si="0"/>
        <v>2400</v>
      </c>
    </row>
    <row r="22" spans="1:15" x14ac:dyDescent="0.25">
      <c r="A22" t="s">
        <v>273</v>
      </c>
      <c r="B22" s="76">
        <f>+SUM(B19:B21)</f>
        <v>290</v>
      </c>
      <c r="C22" s="76">
        <f t="shared" ref="C22:M22" si="4">+SUM(C19:C21)</f>
        <v>290</v>
      </c>
      <c r="D22" s="76">
        <f t="shared" si="4"/>
        <v>290</v>
      </c>
      <c r="E22" s="76">
        <f t="shared" si="4"/>
        <v>290</v>
      </c>
      <c r="F22" s="76">
        <f t="shared" si="4"/>
        <v>290</v>
      </c>
      <c r="G22" s="76">
        <f t="shared" si="4"/>
        <v>640</v>
      </c>
      <c r="H22" s="76">
        <f t="shared" si="4"/>
        <v>290</v>
      </c>
      <c r="I22" s="76">
        <f t="shared" si="4"/>
        <v>290</v>
      </c>
      <c r="J22" s="76">
        <f t="shared" si="4"/>
        <v>290</v>
      </c>
      <c r="K22" s="76">
        <f t="shared" si="4"/>
        <v>290</v>
      </c>
      <c r="L22" s="76">
        <f t="shared" si="4"/>
        <v>290</v>
      </c>
      <c r="M22" s="76">
        <f t="shared" si="4"/>
        <v>290</v>
      </c>
      <c r="O22" s="77">
        <f t="shared" si="0"/>
        <v>3830</v>
      </c>
    </row>
    <row r="23" spans="1:15" x14ac:dyDescent="0.25">
      <c r="A23" s="6" t="s">
        <v>274</v>
      </c>
      <c r="B23" s="78">
        <v>600</v>
      </c>
      <c r="C23" s="78">
        <v>600</v>
      </c>
      <c r="D23" s="78">
        <v>600</v>
      </c>
      <c r="E23" s="78">
        <v>600</v>
      </c>
      <c r="F23" s="78">
        <v>600</v>
      </c>
      <c r="G23" s="78">
        <v>600</v>
      </c>
      <c r="H23" s="78">
        <v>600</v>
      </c>
      <c r="I23" s="78">
        <v>600</v>
      </c>
      <c r="J23" s="78">
        <v>600</v>
      </c>
      <c r="K23" s="78">
        <v>600</v>
      </c>
      <c r="L23" s="78">
        <v>600</v>
      </c>
      <c r="M23" s="78">
        <v>600</v>
      </c>
      <c r="O23" s="77">
        <f t="shared" si="0"/>
        <v>7200</v>
      </c>
    </row>
    <row r="24" spans="1:15" x14ac:dyDescent="0.25">
      <c r="A24" s="6" t="s">
        <v>275</v>
      </c>
      <c r="B24" s="78">
        <v>850</v>
      </c>
      <c r="C24" s="78">
        <v>0</v>
      </c>
      <c r="D24" s="78">
        <v>500</v>
      </c>
      <c r="E24" s="78">
        <v>0</v>
      </c>
      <c r="F24" s="78">
        <v>300</v>
      </c>
      <c r="G24" s="78">
        <v>0</v>
      </c>
      <c r="H24" s="78">
        <v>0</v>
      </c>
      <c r="I24" s="78">
        <v>575</v>
      </c>
      <c r="J24" s="78">
        <v>1550</v>
      </c>
      <c r="K24" s="78">
        <v>0</v>
      </c>
      <c r="L24" s="78">
        <v>0</v>
      </c>
      <c r="M24" s="78">
        <v>0</v>
      </c>
      <c r="O24" s="77">
        <f t="shared" si="0"/>
        <v>3775</v>
      </c>
    </row>
    <row r="25" spans="1:15" x14ac:dyDescent="0.25">
      <c r="A25" s="6" t="s">
        <v>283</v>
      </c>
      <c r="B25" s="78">
        <v>500</v>
      </c>
      <c r="C25" s="78">
        <v>0</v>
      </c>
      <c r="D25" s="78">
        <v>0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O25" s="77">
        <f t="shared" si="0"/>
        <v>500</v>
      </c>
    </row>
    <row r="26" spans="1:15" x14ac:dyDescent="0.25">
      <c r="A26" t="s">
        <v>276</v>
      </c>
      <c r="B26" s="76">
        <f>+SUM(B23:B25)</f>
        <v>1950</v>
      </c>
      <c r="C26" s="76">
        <f t="shared" ref="C26:M26" si="5">+SUM(C23:C25)</f>
        <v>600</v>
      </c>
      <c r="D26" s="76">
        <f t="shared" si="5"/>
        <v>1100</v>
      </c>
      <c r="E26" s="76">
        <f t="shared" si="5"/>
        <v>600</v>
      </c>
      <c r="F26" s="76">
        <f t="shared" si="5"/>
        <v>900</v>
      </c>
      <c r="G26" s="76">
        <f t="shared" si="5"/>
        <v>600</v>
      </c>
      <c r="H26" s="76">
        <f t="shared" si="5"/>
        <v>600</v>
      </c>
      <c r="I26" s="76">
        <f t="shared" si="5"/>
        <v>1175</v>
      </c>
      <c r="J26" s="76">
        <f t="shared" si="5"/>
        <v>2150</v>
      </c>
      <c r="K26" s="76">
        <f t="shared" si="5"/>
        <v>600</v>
      </c>
      <c r="L26" s="76">
        <f t="shared" si="5"/>
        <v>600</v>
      </c>
      <c r="M26" s="76">
        <f t="shared" si="5"/>
        <v>600</v>
      </c>
      <c r="O26" s="77">
        <f t="shared" si="0"/>
        <v>11475</v>
      </c>
    </row>
    <row r="27" spans="1:15" x14ac:dyDescent="0.25">
      <c r="A27" t="s">
        <v>277</v>
      </c>
      <c r="B27" s="78">
        <v>0</v>
      </c>
      <c r="C27" s="78">
        <v>0</v>
      </c>
      <c r="D27" s="78">
        <v>0</v>
      </c>
      <c r="E27" s="78">
        <v>0</v>
      </c>
      <c r="F27" s="78">
        <v>0</v>
      </c>
      <c r="G27" s="78">
        <v>5000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O27" s="77">
        <f t="shared" si="0"/>
        <v>5000</v>
      </c>
    </row>
    <row r="28" spans="1:15" x14ac:dyDescent="0.25">
      <c r="A28" s="6" t="s">
        <v>284</v>
      </c>
      <c r="B28" s="78">
        <v>200</v>
      </c>
      <c r="C28" s="78">
        <v>200</v>
      </c>
      <c r="D28" s="78">
        <v>200</v>
      </c>
      <c r="E28" s="78">
        <v>200</v>
      </c>
      <c r="F28" s="78">
        <v>200</v>
      </c>
      <c r="G28" s="78">
        <v>200</v>
      </c>
      <c r="H28" s="78">
        <v>200</v>
      </c>
      <c r="I28" s="78">
        <v>200</v>
      </c>
      <c r="J28" s="78">
        <v>200</v>
      </c>
      <c r="K28" s="78">
        <v>200</v>
      </c>
      <c r="L28" s="78">
        <v>200</v>
      </c>
      <c r="M28" s="78">
        <v>200</v>
      </c>
      <c r="O28" s="77">
        <f t="shared" si="0"/>
        <v>2400</v>
      </c>
    </row>
    <row r="29" spans="1:15" x14ac:dyDescent="0.25">
      <c r="A29" s="6" t="s">
        <v>278</v>
      </c>
      <c r="B29" s="78">
        <v>0</v>
      </c>
      <c r="C29" s="78">
        <v>0</v>
      </c>
      <c r="D29" s="78">
        <f>6357+978</f>
        <v>7335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O29" s="77">
        <f t="shared" si="0"/>
        <v>7335</v>
      </c>
    </row>
    <row r="30" spans="1:15" x14ac:dyDescent="0.25">
      <c r="A30" s="6" t="s">
        <v>279</v>
      </c>
      <c r="B30" s="78">
        <v>0</v>
      </c>
      <c r="C30" s="78">
        <v>0</v>
      </c>
      <c r="D30" s="78">
        <v>2000</v>
      </c>
      <c r="E30" s="78">
        <v>0</v>
      </c>
      <c r="F30" s="78">
        <v>0</v>
      </c>
      <c r="G30" s="78">
        <v>0</v>
      </c>
      <c r="H30" s="78">
        <v>8000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O30" s="77">
        <f t="shared" si="0"/>
        <v>10000</v>
      </c>
    </row>
    <row r="31" spans="1:15" x14ac:dyDescent="0.25">
      <c r="A31" s="6" t="s">
        <v>280</v>
      </c>
      <c r="B31" s="78">
        <v>0</v>
      </c>
      <c r="C31" s="78">
        <v>0</v>
      </c>
      <c r="D31" s="78">
        <v>0</v>
      </c>
      <c r="E31" s="78">
        <v>3000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O31" s="77">
        <f t="shared" si="0"/>
        <v>3000</v>
      </c>
    </row>
    <row r="32" spans="1:15" x14ac:dyDescent="0.25">
      <c r="A32" t="s">
        <v>281</v>
      </c>
      <c r="B32" s="76">
        <f>+SUM(B28:B31)</f>
        <v>200</v>
      </c>
      <c r="C32" s="76">
        <f t="shared" ref="C32:M32" si="6">+SUM(C28:C31)</f>
        <v>200</v>
      </c>
      <c r="D32" s="76">
        <f t="shared" si="6"/>
        <v>9535</v>
      </c>
      <c r="E32" s="76">
        <f t="shared" si="6"/>
        <v>3200</v>
      </c>
      <c r="F32" s="76">
        <f t="shared" si="6"/>
        <v>200</v>
      </c>
      <c r="G32" s="76">
        <f t="shared" si="6"/>
        <v>200</v>
      </c>
      <c r="H32" s="76">
        <f t="shared" si="6"/>
        <v>8200</v>
      </c>
      <c r="I32" s="76">
        <f t="shared" si="6"/>
        <v>200</v>
      </c>
      <c r="J32" s="76">
        <f t="shared" si="6"/>
        <v>200</v>
      </c>
      <c r="K32" s="76">
        <f>+SUM(K28:K31)</f>
        <v>200</v>
      </c>
      <c r="L32" s="76">
        <f t="shared" si="6"/>
        <v>200</v>
      </c>
      <c r="M32" s="76">
        <f t="shared" si="6"/>
        <v>200</v>
      </c>
      <c r="O32" s="77">
        <f t="shared" si="0"/>
        <v>22735</v>
      </c>
    </row>
    <row r="33" spans="1:15" x14ac:dyDescent="0.25">
      <c r="O33" s="77">
        <f t="shared" si="0"/>
        <v>0</v>
      </c>
    </row>
    <row r="34" spans="1:15" x14ac:dyDescent="0.25">
      <c r="A34" t="s">
        <v>282</v>
      </c>
      <c r="B34" s="77">
        <f>+B6+B11+B12+B13+B14+B17+B18+B22+B26+B27+B32</f>
        <v>14315</v>
      </c>
      <c r="C34" s="77">
        <f t="shared" ref="C34:M34" si="7">+C6+C11+C12+C13+C14+C17+C18+C22+C26+C27+C32</f>
        <v>19135</v>
      </c>
      <c r="D34" s="77">
        <f t="shared" si="7"/>
        <v>33150</v>
      </c>
      <c r="E34" s="77">
        <f t="shared" si="7"/>
        <v>33965</v>
      </c>
      <c r="F34" s="77">
        <f t="shared" si="7"/>
        <v>39465</v>
      </c>
      <c r="G34" s="77">
        <f t="shared" si="7"/>
        <v>39515</v>
      </c>
      <c r="H34" s="77">
        <f t="shared" si="7"/>
        <v>115565</v>
      </c>
      <c r="I34" s="77">
        <f t="shared" si="7"/>
        <v>38540</v>
      </c>
      <c r="J34" s="77">
        <f t="shared" si="7"/>
        <v>39915</v>
      </c>
      <c r="K34" s="77">
        <f t="shared" si="7"/>
        <v>37965</v>
      </c>
      <c r="L34" s="77">
        <f t="shared" si="7"/>
        <v>35965</v>
      </c>
      <c r="M34" s="77">
        <f t="shared" si="7"/>
        <v>36165</v>
      </c>
      <c r="O34" s="77">
        <f>+SUM(B34:M34)</f>
        <v>483660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B9D1-385A-46F0-8A05-4E99769D7DE8}">
  <dimension ref="A1:S11"/>
  <sheetViews>
    <sheetView workbookViewId="0">
      <selection activeCell="C16" sqref="C16"/>
    </sheetView>
  </sheetViews>
  <sheetFormatPr defaultRowHeight="15" x14ac:dyDescent="0.25"/>
  <cols>
    <col min="1" max="1" width="23.28515625" bestFit="1" customWidth="1"/>
    <col min="2" max="2" width="14.28515625" bestFit="1" customWidth="1"/>
    <col min="3" max="3" width="13.42578125" bestFit="1" customWidth="1"/>
    <col min="4" max="4" width="15" bestFit="1" customWidth="1"/>
    <col min="5" max="13" width="13.42578125" bestFit="1" customWidth="1"/>
    <col min="17" max="17" width="24" bestFit="1" customWidth="1"/>
    <col min="18" max="18" width="12.5703125" bestFit="1" customWidth="1"/>
    <col min="19" max="19" width="12.85546875" bestFit="1" customWidth="1"/>
  </cols>
  <sheetData>
    <row r="1" spans="1:19" x14ac:dyDescent="0.25">
      <c r="B1" s="75">
        <v>45658</v>
      </c>
      <c r="C1" s="75">
        <v>45689</v>
      </c>
      <c r="D1" s="75">
        <v>45717</v>
      </c>
      <c r="E1" s="75">
        <v>45748</v>
      </c>
      <c r="F1" s="75">
        <v>45778</v>
      </c>
      <c r="G1" s="75">
        <v>45809</v>
      </c>
      <c r="H1" s="75">
        <v>45839</v>
      </c>
      <c r="I1" s="75">
        <v>45870</v>
      </c>
      <c r="J1" s="75">
        <v>45901</v>
      </c>
      <c r="K1" s="75">
        <v>45931</v>
      </c>
      <c r="L1" s="75">
        <v>45962</v>
      </c>
      <c r="M1" s="75">
        <v>45992</v>
      </c>
    </row>
    <row r="2" spans="1:19" x14ac:dyDescent="0.25">
      <c r="A2" t="s">
        <v>287</v>
      </c>
      <c r="B2" s="78">
        <v>31065.07</v>
      </c>
      <c r="C2" s="77">
        <f>B10</f>
        <v>-22774.600846358982</v>
      </c>
      <c r="D2" s="77">
        <f t="shared" ref="D2:M2" si="0">C10</f>
        <v>42287.140196259832</v>
      </c>
      <c r="E2" s="77">
        <f t="shared" si="0"/>
        <v>73811.904576982604</v>
      </c>
      <c r="F2" s="77">
        <f t="shared" si="0"/>
        <v>22959.248887771566</v>
      </c>
      <c r="G2" s="77">
        <f t="shared" si="0"/>
        <v>118369.11493039038</v>
      </c>
      <c r="H2" s="77">
        <f t="shared" si="0"/>
        <v>168884.08764444652</v>
      </c>
      <c r="I2" s="77">
        <f t="shared" si="0"/>
        <v>131625.18195523549</v>
      </c>
      <c r="J2" s="77">
        <f t="shared" si="0"/>
        <v>217540.25633118767</v>
      </c>
      <c r="K2" s="77">
        <f t="shared" si="0"/>
        <v>247300.0207119105</v>
      </c>
      <c r="L2" s="77">
        <f t="shared" si="0"/>
        <v>197415.07335603278</v>
      </c>
      <c r="M2" s="77">
        <f t="shared" si="0"/>
        <v>296260.35606531828</v>
      </c>
      <c r="Q2" t="s">
        <v>296</v>
      </c>
      <c r="R2" s="81">
        <v>7.7499999999999999E-2</v>
      </c>
      <c r="S2" t="s">
        <v>298</v>
      </c>
    </row>
    <row r="3" spans="1:19" x14ac:dyDescent="0.25">
      <c r="A3" t="s">
        <v>288</v>
      </c>
      <c r="B3" s="78">
        <v>65000</v>
      </c>
      <c r="C3" s="77">
        <f>'Proforma P&amp;L'!B3</f>
        <v>404089.26306703425</v>
      </c>
      <c r="D3" s="77">
        <f>'Proforma P&amp;L'!C3</f>
        <v>277550.022791303</v>
      </c>
      <c r="E3" s="77">
        <f>'Proforma P&amp;L'!D3</f>
        <v>117152.64015714794</v>
      </c>
      <c r="F3" s="77">
        <f>'Proforma P&amp;L'!E3</f>
        <v>404089.26306703425</v>
      </c>
      <c r="G3" s="77">
        <f>'Proforma P&amp;L'!F3</f>
        <v>277550.022791303</v>
      </c>
      <c r="H3" s="77">
        <f>'Proforma P&amp;L'!G3</f>
        <v>117152.64015714794</v>
      </c>
      <c r="I3" s="77">
        <f>'Proforma P&amp;L'!H3</f>
        <v>404089.26306703425</v>
      </c>
      <c r="J3" s="77">
        <f>'Proforma P&amp;L'!I3</f>
        <v>277550.022791303</v>
      </c>
      <c r="K3" s="77">
        <f>'Proforma P&amp;L'!J3</f>
        <v>117152.64015714794</v>
      </c>
      <c r="L3" s="77">
        <f>'Proforma P&amp;L'!K3</f>
        <v>404089.26306703425</v>
      </c>
      <c r="M3" s="77">
        <f>'Proforma P&amp;L'!L3</f>
        <v>277550.022791303</v>
      </c>
      <c r="Q3" t="s">
        <v>297</v>
      </c>
      <c r="R3" s="76">
        <v>200000</v>
      </c>
    </row>
    <row r="4" spans="1:19" x14ac:dyDescent="0.25">
      <c r="A4" t="s">
        <v>289</v>
      </c>
      <c r="B4" s="77">
        <f>-'Proforma P&amp;L'!B4</f>
        <v>-287487.21417969232</v>
      </c>
      <c r="C4" s="77">
        <f>-'Proforma P&amp;L'!C4</f>
        <v>-186660.27369108208</v>
      </c>
      <c r="D4" s="77">
        <f>-'Proforma P&amp;L'!D4</f>
        <v>-80482.593410580215</v>
      </c>
      <c r="E4" s="77">
        <f>-'Proforma P&amp;L'!E4</f>
        <v>-287487.21417969232</v>
      </c>
      <c r="F4" s="77">
        <f>-'Proforma P&amp;L'!F4</f>
        <v>-186660.27369108208</v>
      </c>
      <c r="G4" s="77">
        <f>-'Proforma P&amp;L'!G4</f>
        <v>-80482.593410580215</v>
      </c>
      <c r="H4" s="77">
        <f>-'Proforma P&amp;L'!H4</f>
        <v>-287487.21417969232</v>
      </c>
      <c r="I4" s="77">
        <f>-'Proforma P&amp;L'!I4</f>
        <v>-186660.27369108208</v>
      </c>
      <c r="J4" s="77">
        <f>-'Proforma P&amp;L'!J4</f>
        <v>-80482.593410580215</v>
      </c>
      <c r="K4" s="77">
        <f>-'Proforma P&amp;L'!K4</f>
        <v>-287487.21417969232</v>
      </c>
      <c r="L4" s="77">
        <f>-'Proforma P&amp;L'!L4</f>
        <v>-186660.27369108208</v>
      </c>
      <c r="M4" s="77">
        <f>-'Proforma P&amp;L'!M4</f>
        <v>-80482.593410580215</v>
      </c>
      <c r="Q4" t="s">
        <v>384</v>
      </c>
      <c r="R4" s="77">
        <f>SUM(B6:M7)</f>
        <v>-26839.063333333343</v>
      </c>
    </row>
    <row r="5" spans="1:19" x14ac:dyDescent="0.25">
      <c r="A5" t="s">
        <v>290</v>
      </c>
      <c r="B5" s="77">
        <f>+-'Operating Expenses'!B34</f>
        <v>-14315</v>
      </c>
      <c r="C5" s="77">
        <f>+-'Operating Expenses'!C34</f>
        <v>-19135</v>
      </c>
      <c r="D5" s="77">
        <f>+-'Operating Expenses'!D34</f>
        <v>-33150</v>
      </c>
      <c r="E5" s="77">
        <f>+-'Operating Expenses'!E34</f>
        <v>-33965</v>
      </c>
      <c r="F5" s="77">
        <f>+-'Operating Expenses'!F34</f>
        <v>-39465</v>
      </c>
      <c r="G5" s="77">
        <f>+-'Operating Expenses'!G34</f>
        <v>-39515</v>
      </c>
      <c r="H5" s="77">
        <f>+-'Operating Expenses'!H34</f>
        <v>-115565</v>
      </c>
      <c r="I5" s="77">
        <f>+-'Operating Expenses'!I34</f>
        <v>-38540</v>
      </c>
      <c r="J5" s="77">
        <f>+-'Operating Expenses'!J34</f>
        <v>-39915</v>
      </c>
      <c r="K5" s="77">
        <f>+-'Operating Expenses'!K34</f>
        <v>-37965</v>
      </c>
      <c r="L5" s="77">
        <f>+-'Operating Expenses'!L34</f>
        <v>-35965</v>
      </c>
      <c r="M5" s="77">
        <f>+-'Operating Expenses'!M34</f>
        <v>-36165</v>
      </c>
    </row>
    <row r="6" spans="1:19" x14ac:dyDescent="0.25">
      <c r="A6" t="s">
        <v>291</v>
      </c>
      <c r="B6" s="77">
        <f>+-R3*($R$2/12)</f>
        <v>-1291.6666666666667</v>
      </c>
      <c r="C6" s="77">
        <f>+-B11*($R$2/12)</f>
        <v>-2486.4583333333335</v>
      </c>
      <c r="D6" s="77">
        <f>+-C11*($R$2/12)</f>
        <v>-1646.875</v>
      </c>
      <c r="E6" s="77">
        <f t="shared" ref="E6:M6" si="1">+-D11*($R$2/12)</f>
        <v>-807.29166666666663</v>
      </c>
      <c r="F6" s="77">
        <f t="shared" si="1"/>
        <v>-1808.3333333333333</v>
      </c>
      <c r="G6" s="77">
        <f>+-F11*($R$2/12)</f>
        <v>-1291.6666666666667</v>
      </c>
      <c r="H6" s="77">
        <f t="shared" si="1"/>
        <v>-613.54166666666663</v>
      </c>
      <c r="I6" s="77">
        <f t="shared" si="1"/>
        <v>-2228.125</v>
      </c>
      <c r="J6" s="77">
        <f>+-I11*($R$2/12)</f>
        <v>-1646.875</v>
      </c>
      <c r="K6" s="77">
        <f t="shared" si="1"/>
        <v>-839.58333333333337</v>
      </c>
      <c r="L6" s="77">
        <f t="shared" si="1"/>
        <v>-1872.9166666666667</v>
      </c>
      <c r="M6" s="77">
        <f t="shared" si="1"/>
        <v>-1356.25</v>
      </c>
    </row>
    <row r="7" spans="1:19" x14ac:dyDescent="0.25">
      <c r="A7" t="s">
        <v>383</v>
      </c>
      <c r="B7" s="76">
        <v>-745.79</v>
      </c>
      <c r="C7" s="76">
        <v>-745.79</v>
      </c>
      <c r="D7" s="76">
        <v>-745.79</v>
      </c>
      <c r="E7" s="76">
        <v>-745.79</v>
      </c>
      <c r="F7" s="76">
        <v>-745.79</v>
      </c>
      <c r="G7" s="76">
        <v>-745.79</v>
      </c>
      <c r="H7" s="76">
        <v>-745.79</v>
      </c>
      <c r="I7" s="76">
        <v>-745.79</v>
      </c>
      <c r="J7" s="76">
        <v>-745.79</v>
      </c>
      <c r="K7" s="76">
        <v>-745.79</v>
      </c>
      <c r="L7" s="76">
        <v>-745.79</v>
      </c>
      <c r="M7" s="76">
        <v>-745.79</v>
      </c>
    </row>
    <row r="8" spans="1:19" x14ac:dyDescent="0.25">
      <c r="A8" t="s">
        <v>292</v>
      </c>
      <c r="B8" s="77">
        <f>SUM(B2:B7)</f>
        <v>-207774.60084635898</v>
      </c>
      <c r="C8" s="77">
        <f>SUM(C2:C7)</f>
        <v>172287.14019625983</v>
      </c>
      <c r="D8" s="77">
        <f t="shared" ref="D8:M8" si="2">SUM(D2:D7)</f>
        <v>203811.9045769826</v>
      </c>
      <c r="E8" s="77">
        <f t="shared" si="2"/>
        <v>-132040.75111222843</v>
      </c>
      <c r="F8" s="77">
        <f t="shared" si="2"/>
        <v>198369.11493039038</v>
      </c>
      <c r="G8" s="77">
        <f t="shared" si="2"/>
        <v>273884.08764444652</v>
      </c>
      <c r="H8" s="77">
        <f t="shared" si="2"/>
        <v>-118374.81804476451</v>
      </c>
      <c r="I8" s="77">
        <f t="shared" si="2"/>
        <v>307540.25633118767</v>
      </c>
      <c r="J8" s="77">
        <f t="shared" si="2"/>
        <v>372300.0207119105</v>
      </c>
      <c r="K8" s="77">
        <f t="shared" si="2"/>
        <v>37415.073356032794</v>
      </c>
      <c r="L8" s="77">
        <f t="shared" si="2"/>
        <v>376260.35606531828</v>
      </c>
      <c r="M8" s="77">
        <f t="shared" si="2"/>
        <v>455060.74544604105</v>
      </c>
    </row>
    <row r="9" spans="1:19" x14ac:dyDescent="0.25">
      <c r="A9" t="s">
        <v>293</v>
      </c>
      <c r="B9" s="78">
        <v>185000</v>
      </c>
      <c r="C9" s="78">
        <v>-130000</v>
      </c>
      <c r="D9" s="78">
        <v>-130000</v>
      </c>
      <c r="E9" s="78">
        <v>155000</v>
      </c>
      <c r="F9" s="78">
        <v>-80000</v>
      </c>
      <c r="G9" s="78">
        <v>-105000</v>
      </c>
      <c r="H9" s="78">
        <v>250000</v>
      </c>
      <c r="I9" s="78">
        <v>-90000</v>
      </c>
      <c r="J9" s="78">
        <v>-125000</v>
      </c>
      <c r="K9" s="78">
        <v>160000</v>
      </c>
      <c r="L9" s="78">
        <v>-80000</v>
      </c>
      <c r="M9" s="78">
        <v>-125000</v>
      </c>
    </row>
    <row r="10" spans="1:19" x14ac:dyDescent="0.25">
      <c r="A10" t="s">
        <v>294</v>
      </c>
      <c r="B10" s="77">
        <f>B8+B9</f>
        <v>-22774.600846358982</v>
      </c>
      <c r="C10" s="77">
        <f>C8+C9</f>
        <v>42287.140196259832</v>
      </c>
      <c r="D10" s="77">
        <f t="shared" ref="D10:M10" si="3">D8+D9</f>
        <v>73811.904576982604</v>
      </c>
      <c r="E10" s="77">
        <f t="shared" si="3"/>
        <v>22959.248887771566</v>
      </c>
      <c r="F10" s="77">
        <f t="shared" si="3"/>
        <v>118369.11493039038</v>
      </c>
      <c r="G10" s="77">
        <f t="shared" si="3"/>
        <v>168884.08764444652</v>
      </c>
      <c r="H10" s="77">
        <f t="shared" si="3"/>
        <v>131625.18195523549</v>
      </c>
      <c r="I10" s="77">
        <f t="shared" si="3"/>
        <v>217540.25633118767</v>
      </c>
      <c r="J10" s="77">
        <f t="shared" si="3"/>
        <v>247300.0207119105</v>
      </c>
      <c r="K10" s="77">
        <f t="shared" si="3"/>
        <v>197415.07335603278</v>
      </c>
      <c r="L10" s="77">
        <f t="shared" si="3"/>
        <v>296260.35606531828</v>
      </c>
      <c r="M10" s="77">
        <f t="shared" si="3"/>
        <v>330060.74544604105</v>
      </c>
    </row>
    <row r="11" spans="1:19" x14ac:dyDescent="0.25">
      <c r="A11" t="s">
        <v>295</v>
      </c>
      <c r="B11" s="77">
        <f>R3+B9</f>
        <v>385000</v>
      </c>
      <c r="C11" s="77">
        <f>B11+C9</f>
        <v>255000</v>
      </c>
      <c r="D11" s="77">
        <f t="shared" ref="D11:M11" si="4">C11+D9</f>
        <v>125000</v>
      </c>
      <c r="E11" s="77">
        <f t="shared" si="4"/>
        <v>280000</v>
      </c>
      <c r="F11" s="77">
        <f t="shared" si="4"/>
        <v>200000</v>
      </c>
      <c r="G11" s="77">
        <f t="shared" si="4"/>
        <v>95000</v>
      </c>
      <c r="H11" s="77">
        <f t="shared" si="4"/>
        <v>345000</v>
      </c>
      <c r="I11" s="77">
        <f t="shared" si="4"/>
        <v>255000</v>
      </c>
      <c r="J11" s="77">
        <f t="shared" si="4"/>
        <v>130000</v>
      </c>
      <c r="K11" s="77">
        <f t="shared" si="4"/>
        <v>290000</v>
      </c>
      <c r="L11" s="77">
        <f t="shared" si="4"/>
        <v>210000</v>
      </c>
      <c r="M11" s="77">
        <f t="shared" si="4"/>
        <v>85000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FFC7-ABF5-4E62-A2AE-54B2772C4823}">
  <dimension ref="A1:D12"/>
  <sheetViews>
    <sheetView workbookViewId="0">
      <selection activeCell="D3" sqref="D3"/>
    </sheetView>
  </sheetViews>
  <sheetFormatPr defaultRowHeight="15" x14ac:dyDescent="0.25"/>
  <cols>
    <col min="2" max="2" width="10.28515625" bestFit="1" customWidth="1"/>
    <col min="3" max="3" width="16.85546875" bestFit="1" customWidth="1"/>
    <col min="4" max="4" width="13.42578125" bestFit="1" customWidth="1"/>
  </cols>
  <sheetData>
    <row r="1" spans="1:4" x14ac:dyDescent="0.25">
      <c r="A1" t="s">
        <v>219</v>
      </c>
      <c r="B1" t="s">
        <v>226</v>
      </c>
      <c r="C1" t="s">
        <v>239</v>
      </c>
      <c r="D1" t="s">
        <v>334</v>
      </c>
    </row>
    <row r="2" spans="1:4" x14ac:dyDescent="0.25">
      <c r="A2" t="s">
        <v>220</v>
      </c>
      <c r="B2" t="s">
        <v>227</v>
      </c>
      <c r="C2" t="s">
        <v>244</v>
      </c>
      <c r="D2" t="s">
        <v>335</v>
      </c>
    </row>
    <row r="3" spans="1:4" x14ac:dyDescent="0.25">
      <c r="A3" t="s">
        <v>221</v>
      </c>
      <c r="B3" t="s">
        <v>228</v>
      </c>
      <c r="C3" t="s">
        <v>240</v>
      </c>
    </row>
    <row r="4" spans="1:4" x14ac:dyDescent="0.25">
      <c r="B4" t="s">
        <v>229</v>
      </c>
      <c r="C4" t="s">
        <v>241</v>
      </c>
    </row>
    <row r="5" spans="1:4" x14ac:dyDescent="0.25">
      <c r="B5" t="s">
        <v>230</v>
      </c>
      <c r="C5" t="s">
        <v>242</v>
      </c>
    </row>
    <row r="6" spans="1:4" x14ac:dyDescent="0.25">
      <c r="B6" t="s">
        <v>231</v>
      </c>
      <c r="C6" t="s">
        <v>243</v>
      </c>
    </row>
    <row r="7" spans="1:4" x14ac:dyDescent="0.25">
      <c r="B7" t="s">
        <v>232</v>
      </c>
    </row>
    <row r="8" spans="1:4" x14ac:dyDescent="0.25">
      <c r="B8" t="s">
        <v>233</v>
      </c>
    </row>
    <row r="9" spans="1:4" x14ac:dyDescent="0.25">
      <c r="B9" t="s">
        <v>234</v>
      </c>
    </row>
    <row r="10" spans="1:4" x14ac:dyDescent="0.25">
      <c r="B10" t="s">
        <v>235</v>
      </c>
    </row>
    <row r="11" spans="1:4" x14ac:dyDescent="0.25">
      <c r="B11" t="s">
        <v>236</v>
      </c>
    </row>
    <row r="12" spans="1:4" x14ac:dyDescent="0.25">
      <c r="B12" t="s">
        <v>237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Cost Master List</vt:lpstr>
      <vt:lpstr>Manufactured Items Models</vt:lpstr>
      <vt:lpstr>Customer Pricing</vt:lpstr>
      <vt:lpstr>Proforma P&amp;L</vt:lpstr>
      <vt:lpstr>Operating Expenses</vt:lpstr>
      <vt:lpstr>Cash Flow Analysis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Morris</dc:creator>
  <cp:lastModifiedBy>ben.morris640@gmail.com</cp:lastModifiedBy>
  <dcterms:created xsi:type="dcterms:W3CDTF">2025-11-04T15:23:08Z</dcterms:created>
  <dcterms:modified xsi:type="dcterms:W3CDTF">2026-01-06T13:35:14Z</dcterms:modified>
</cp:coreProperties>
</file>